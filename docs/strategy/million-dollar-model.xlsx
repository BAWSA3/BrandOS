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Inputs" sheetId="3" state="visible" r:id="rId3"/>
    <sheet name="Worst" sheetId="4" state="visible" r:id="rId4"/>
    <sheet name="Expected" sheetId="5" state="visible" r:id="rId5"/>
    <sheet name="Optimistic" sheetId="6" state="visible" r:id="rId6"/>
    <sheet name="Unit economics" sheetId="7" state="visible" r:id="rId7"/>
    <sheet name="Measured (prod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mmm yyyy"/>
    <numFmt numFmtId="166" formatCode="#,##0.0"/>
    <numFmt numFmtId="167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047FF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165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6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BrandOS $1M ARR model (2026-10-26). Companion to docs/strategy/MILLION-DOLLAR-PLAN.md.</t>
        </is>
      </c>
    </row>
    <row r="2">
      <c r="A2" t="inlineStr">
        <is>
          <t>Yellow cells on Inputs are assumptions. Change them and every other sheet recalculates.</t>
        </is>
      </c>
    </row>
    <row r="3">
      <c r="A3" t="inlineStr">
        <is>
          <t>Source column: "measured" = from prod data (query id in the plan appendix); "guess" = no data yet, with the cheapest test to replace it.</t>
        </is>
      </c>
    </row>
    <row r="4">
      <c r="A4" t="inlineStr">
        <is>
          <t>Month 0 = Nov 2026 (launch Nov 2). Target = $1,000,000 ARR = $83,333 MRR.</t>
        </is>
      </c>
    </row>
    <row r="5">
      <c r="A5" t="inlineStr">
        <is>
          <t>Funnel per month: new scanned handles x signup rate x card rate x card-to-paid = new paying creators; paying creators decay by monthly churn.</t>
        </is>
      </c>
    </row>
    <row r="6">
      <c r="A6" t="inlineStr">
        <is>
          <t>B2B (agency/brand) accounts are added separately per month at the Agency price, with their own churn.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70" customWidth="1" min="1" max="1"/>
    <col width="22" customWidth="1" min="2" max="2"/>
    <col width="22" customWidth="1" min="3" max="3"/>
    <col width="22" customWidth="1" min="4" max="4"/>
    <col width="20" customWidth="1" min="5" max="5"/>
    <col width="30" customWidth="1" min="6" max="6"/>
  </cols>
  <sheetData>
    <row r="1">
      <c r="A1" s="1" t="inlineStr">
        <is>
          <t>Scenario</t>
        </is>
      </c>
      <c r="B1" s="1" t="inlineStr">
        <is>
          <t>First month at $1M ARR</t>
        </is>
      </c>
      <c r="C1" s="1" t="inlineStr">
        <is>
          <t>MRR month 12 (Nov 2027)</t>
        </is>
      </c>
      <c r="D1" s="1" t="inlineStr">
        <is>
          <t>Paying creators month 12</t>
        </is>
      </c>
      <c r="E1" s="1" t="inlineStr">
        <is>
          <t>B2B accounts month 12</t>
        </is>
      </c>
      <c r="F1" s="1" t="inlineStr">
        <is>
          <t>Cumulative scanned handles needed by month 12</t>
        </is>
      </c>
    </row>
    <row r="2">
      <c r="A2" t="inlineStr">
        <is>
          <t>Worst</t>
        </is>
      </c>
      <c r="B2" s="2">
        <f>IFERROR(INDEX(Worst!B2:B49,MATCH("YES",Worst!J2:J49,0)),"not within 4 years")</f>
        <v/>
      </c>
      <c r="C2" s="3">
        <f>Worst!H14</f>
        <v/>
      </c>
      <c r="D2" s="4">
        <f>Worst!E14</f>
        <v/>
      </c>
      <c r="E2" s="4">
        <f>Worst!G14</f>
        <v/>
      </c>
      <c r="F2" s="4">
        <f>SUM(Worst!C2:C14)</f>
        <v/>
      </c>
    </row>
    <row r="3">
      <c r="A3" t="inlineStr">
        <is>
          <t>Expected</t>
        </is>
      </c>
      <c r="B3" s="2">
        <f>IFERROR(INDEX(Expected!B2:B49,MATCH("YES",Expected!J2:J49,0)),"not within 4 years")</f>
        <v/>
      </c>
      <c r="C3" s="3">
        <f>Expected!H14</f>
        <v/>
      </c>
      <c r="D3" s="4">
        <f>Expected!E14</f>
        <v/>
      </c>
      <c r="E3" s="4">
        <f>Expected!G14</f>
        <v/>
      </c>
      <c r="F3" s="4">
        <f>SUM(Expected!C2:C14)</f>
        <v/>
      </c>
    </row>
    <row r="4">
      <c r="A4" t="inlineStr">
        <is>
          <t>Optimistic</t>
        </is>
      </c>
      <c r="B4" s="2">
        <f>IFERROR(INDEX(Optimistic!B2:B49,MATCH("YES",Optimistic!J2:J49,0)),"not within 4 years")</f>
        <v/>
      </c>
      <c r="C4" s="3">
        <f>Optimistic!H14</f>
        <v/>
      </c>
      <c r="D4" s="4">
        <f>Optimistic!E14</f>
        <v/>
      </c>
      <c r="E4" s="4">
        <f>Optimistic!G14</f>
        <v/>
      </c>
      <c r="F4" s="4">
        <f>SUM(Optimistic!C2:C14)</f>
        <v/>
      </c>
    </row>
    <row r="6">
      <c r="A6" s="5" t="inlineStr">
        <is>
          <t>Members needed for $83,333 MRR (no churn assumed):</t>
        </is>
      </c>
    </row>
    <row r="7">
      <c r="A7" t="inlineStr">
        <is>
          <t>All creators at $39</t>
        </is>
      </c>
      <c r="B7" s="4">
        <f>ROUNDUP(83333/39,0)</f>
        <v/>
      </c>
    </row>
    <row r="8">
      <c r="A8" t="inlineStr">
        <is>
          <t>All creators at $29</t>
        </is>
      </c>
      <c r="B8" s="4">
        <f>ROUNDUP(83333/29,0)</f>
        <v/>
      </c>
    </row>
    <row r="9">
      <c r="A9" t="inlineStr">
        <is>
          <t>Agencies only at $249</t>
        </is>
      </c>
      <c r="B9" s="4">
        <f>ROUNDUP(83333/249,0)</f>
        <v/>
      </c>
    </row>
    <row r="10">
      <c r="A10" t="inlineStr">
        <is>
          <t>Mix: 1,500 creators @$39 + 100 Team @$99 + agencies @$249 for the rest</t>
        </is>
      </c>
      <c r="B10" s="4">
        <f>1500+100+ROUNDUP((83333-1500*39-100*99)/249,0)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95" customWidth="1" min="7" max="7"/>
  </cols>
  <sheetData>
    <row r="1">
      <c r="A1" s="1" t="inlineStr">
        <is>
          <t>Assumption</t>
        </is>
      </c>
      <c r="B1" s="1" t="inlineStr">
        <is>
          <t>Worst</t>
        </is>
      </c>
      <c r="C1" s="1" t="inlineStr">
        <is>
          <t>Expected</t>
        </is>
      </c>
      <c r="D1" s="1" t="inlineStr">
        <is>
          <t>Optimistic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Evidence / cheapest test to replace a guess</t>
        </is>
      </c>
    </row>
    <row r="2">
      <c r="A2" t="inlineStr">
        <is>
          <t>Target ARR</t>
        </is>
      </c>
      <c r="B2" s="6" t="n">
        <v>1000000</v>
      </c>
      <c r="C2" s="6" t="n">
        <v>1000000</v>
      </c>
      <c r="D2" s="6" t="n">
        <v>1000000</v>
      </c>
      <c r="E2" t="inlineStr">
        <is>
          <t>$</t>
        </is>
      </c>
      <c r="F2" t="inlineStr">
        <is>
          <t>definition</t>
        </is>
      </c>
      <c r="G2" t="inlineStr"/>
    </row>
    <row r="3">
      <c r="A3" t="inlineStr">
        <is>
          <t>New scanned handles, month 0 (Nov 2026)</t>
        </is>
      </c>
      <c r="B3" s="6" t="n">
        <v>1000</v>
      </c>
      <c r="C3" s="6" t="n">
        <v>2500</v>
      </c>
      <c r="D3" s="6" t="n">
        <v>5000</v>
      </c>
      <c r="E3" t="inlineStr">
        <is>
          <t>handles/mo</t>
        </is>
      </c>
      <c r="F3" t="inlineStr">
        <is>
          <t>guess</t>
        </is>
      </c>
      <c r="G3" t="inlineStr">
        <is>
          <t>Measured: Oct 1-26 = 217 handles (Q-C4); launch week Mar 16 = 4,105 (Q2). Test: count handles scanned Nov 2-30.</t>
        </is>
      </c>
    </row>
    <row r="4">
      <c r="A4" t="inlineStr">
        <is>
          <t>Monthly growth in new handles</t>
        </is>
      </c>
      <c r="B4" s="7" t="n">
        <v>0.05</v>
      </c>
      <c r="C4" s="7" t="n">
        <v>0.12</v>
      </c>
      <c r="D4" s="7" t="n">
        <v>0.18</v>
      </c>
      <c r="E4" t="inlineStr">
        <is>
          <t>%/mo</t>
        </is>
      </c>
      <c r="F4" t="inlineStr">
        <is>
          <t>guess</t>
        </is>
      </c>
      <c r="G4" t="inlineStr">
        <is>
          <t>Test: Nov vs Dec handles. Driven by daily teardowns + reply waves (GTM plan).</t>
        </is>
      </c>
    </row>
    <row r="5">
      <c r="A5" t="inlineStr">
        <is>
          <t>Scan -&gt; email/account signup</t>
        </is>
      </c>
      <c r="B5" s="7" t="n">
        <v>0.12</v>
      </c>
      <c r="C5" s="7" t="n">
        <v>0.15</v>
      </c>
      <c r="D5" s="7" t="n">
        <v>0.21</v>
      </c>
      <c r="E5" t="inlineStr">
        <is>
          <t>%</t>
        </is>
      </c>
      <c r="F5" t="inlineStr">
        <is>
          <t>measured</t>
        </is>
      </c>
      <c r="G5" t="inlineStr">
        <is>
          <t>Launch week 883/4,105 = 21.5% (Q-C3); Oct 32/217 = 14.7% (Q-C4).</t>
        </is>
      </c>
    </row>
    <row r="6">
      <c r="A6" t="inlineStr">
        <is>
          <t>Signup -&gt; card on file</t>
        </is>
      </c>
      <c r="B6" s="7" t="n">
        <v>0.08</v>
      </c>
      <c r="C6" s="7" t="n">
        <v>0.15</v>
      </c>
      <c r="D6" s="7" t="n">
        <v>0.25</v>
      </c>
      <c r="E6" t="inlineStr">
        <is>
          <t>%</t>
        </is>
      </c>
      <c r="F6" t="inlineStr">
        <is>
          <t>guess</t>
        </is>
      </c>
      <c r="G6" t="inlineStr">
        <is>
          <t>No Stripe on prod yet (0 customers). Test: Founding 100 card adds by Nov 16 / signups since Nov 2.</t>
        </is>
      </c>
    </row>
    <row r="7">
      <c r="A7" t="inlineStr">
        <is>
          <t>Card -&gt; paid after free period</t>
        </is>
      </c>
      <c r="B7" s="7" t="n">
        <v>0.4</v>
      </c>
      <c r="C7" s="7" t="n">
        <v>0.5</v>
      </c>
      <c r="D7" s="7" t="n">
        <v>0.6</v>
      </c>
      <c r="E7" t="inlineStr">
        <is>
          <t>%</t>
        </is>
      </c>
      <c r="F7" t="inlineStr">
        <is>
          <t>guess</t>
        </is>
      </c>
      <c r="G7" t="inlineStr">
        <is>
          <t>Test: Dec 3 charges succeeded / cards on file. Opt-out card trials commonly convert 40-60% (benchmark, not BrandOS data).</t>
        </is>
      </c>
    </row>
    <row r="8">
      <c r="A8" t="inlineStr">
        <is>
          <t>Creator monthly churn</t>
        </is>
      </c>
      <c r="B8" s="7" t="n">
        <v>0.12</v>
      </c>
      <c r="C8" s="7" t="n">
        <v>0.08</v>
      </c>
      <c r="D8" s="7" t="n">
        <v>0.05</v>
      </c>
      <c r="E8" t="inlineStr">
        <is>
          <t>%/mo</t>
        </is>
      </c>
      <c r="F8" t="inlineStr">
        <is>
          <t>guess</t>
        </is>
      </c>
      <c r="G8" t="inlineStr">
        <is>
          <t>Rescan proxy shows ~0% week-4 return pre-dashboard (Q-C1). Test: Jan 3 renewals.</t>
        </is>
      </c>
    </row>
    <row r="9">
      <c r="A9" t="inlineStr">
        <is>
          <t>Creator ARPU</t>
        </is>
      </c>
      <c r="B9" s="6" t="n">
        <v>29</v>
      </c>
      <c r="C9" s="6" t="n">
        <v>35</v>
      </c>
      <c r="D9" s="6" t="n">
        <v>39</v>
      </c>
      <c r="E9" t="inlineStr">
        <is>
          <t>$/mo</t>
        </is>
      </c>
      <c r="F9" t="inlineStr">
        <is>
          <t>definition</t>
        </is>
      </c>
      <c r="G9" t="inlineStr">
        <is>
          <t>Founding 100 at $29 for life, then $39 (LAUNCH-PLAN). Blend depends on mix.</t>
        </is>
      </c>
    </row>
    <row r="10">
      <c r="A10" t="inlineStr">
        <is>
          <t>New B2B (agency/brand) accounts, month 0</t>
        </is>
      </c>
      <c r="B10" s="7" t="n">
        <v>0.5</v>
      </c>
      <c r="C10" s="6" t="n">
        <v>2</v>
      </c>
      <c r="D10" s="6" t="n">
        <v>5</v>
      </c>
      <c r="E10" t="inlineStr">
        <is>
          <t>accounts/mo</t>
        </is>
      </c>
      <c r="F10" t="inlineStr">
        <is>
          <t>guess</t>
        </is>
      </c>
      <c r="G10" t="inlineStr">
        <is>
          <t>Zero today. Test: 10 agency/brand conversations -&gt; letters of intent by Dec 3.</t>
        </is>
      </c>
    </row>
    <row r="11">
      <c r="A11" t="inlineStr">
        <is>
          <t>B2B monthly growth</t>
        </is>
      </c>
      <c r="B11" s="7" t="n">
        <v>0</v>
      </c>
      <c r="C11" s="7" t="n">
        <v>0.1</v>
      </c>
      <c r="D11" s="7" t="n">
        <v>0.15</v>
      </c>
      <c r="E11" t="inlineStr">
        <is>
          <t>%/mo</t>
        </is>
      </c>
      <c r="F11" t="inlineStr">
        <is>
          <t>guess</t>
        </is>
      </c>
      <c r="G11" t="inlineStr"/>
    </row>
    <row r="12">
      <c r="A12" t="inlineStr">
        <is>
          <t>B2B price</t>
        </is>
      </c>
      <c r="B12" s="6" t="n">
        <v>249</v>
      </c>
      <c r="C12" s="6" t="n">
        <v>249</v>
      </c>
      <c r="D12" s="6" t="n">
        <v>249</v>
      </c>
      <c r="E12" t="inlineStr">
        <is>
          <t>$/mo</t>
        </is>
      </c>
      <c r="F12" t="inlineStr">
        <is>
          <t>definition</t>
        </is>
      </c>
      <c r="G12" t="inlineStr">
        <is>
          <t>Agency plan (planned). Competitors: Favikon brand EUR159-499, Modash $199, HypeAuditor ~$299, Kaito Pro $833, KOL agencies ~$5K+.</t>
        </is>
      </c>
    </row>
    <row r="13">
      <c r="A13" t="inlineStr">
        <is>
          <t>B2B monthly churn</t>
        </is>
      </c>
      <c r="B13" s="7" t="n">
        <v>0.05</v>
      </c>
      <c r="C13" s="7" t="n">
        <v>0.03</v>
      </c>
      <c r="D13" s="7" t="n">
        <v>0.02</v>
      </c>
      <c r="E13" t="inlineStr">
        <is>
          <t>%/mo</t>
        </is>
      </c>
      <c r="F13" t="inlineStr">
        <is>
          <t>guess</t>
        </is>
      </c>
      <c r="G13" t="inlineStr"/>
    </row>
    <row r="14">
      <c r="A14" t="inlineStr">
        <is>
          <t>Cost per scan (SocialData + Claude)</t>
        </is>
      </c>
      <c r="B14" s="7" t="n">
        <v>0.06</v>
      </c>
      <c r="C14" s="7" t="n">
        <v>0.04</v>
      </c>
      <c r="D14" s="7" t="n">
        <v>0.03</v>
      </c>
      <c r="E14" t="inlineStr">
        <is>
          <t>$/scan</t>
        </is>
      </c>
      <c r="F14" t="inlineStr">
        <is>
          <t>estimate</t>
        </is>
      </c>
      <c r="G14" t="inlineStr">
        <is>
          <t>From code: ~64 SocialData results x $0.0002 + Claude Haiku score + identity calls. Verify on invoices.</t>
        </is>
      </c>
    </row>
    <row r="15">
      <c r="A15" t="inlineStr">
        <is>
          <t>Scans per paying member per month</t>
        </is>
      </c>
      <c r="B15" s="6" t="n">
        <v>12</v>
      </c>
      <c r="C15" s="6" t="n">
        <v>8</v>
      </c>
      <c r="D15" s="6" t="n">
        <v>6</v>
      </c>
      <c r="E15" t="inlineStr">
        <is>
          <t>scans/mo</t>
        </is>
      </c>
      <c r="F15" t="inlineStr">
        <is>
          <t>guess</t>
        </is>
      </c>
      <c r="G15" t="inlineStr">
        <is>
          <t>Dashboard rescans + compares. Test: avg scans per member in Nov.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3" customWidth="1" min="5" max="5"/>
    <col width="9" customWidth="1" min="6" max="6"/>
    <col width="12" customWidth="1" min="7" max="7"/>
    <col width="12" customWidth="1" min="8" max="8"/>
    <col width="13" customWidth="1" min="9" max="9"/>
    <col width="9" customWidth="1" min="10" max="10"/>
  </cols>
  <sheetData>
    <row r="1">
      <c r="A1" s="1" t="inlineStr">
        <is>
          <t>Month #</t>
        </is>
      </c>
      <c r="B1" s="1" t="inlineStr">
        <is>
          <t>Month</t>
        </is>
      </c>
      <c r="C1" s="1" t="inlineStr">
        <is>
          <t>New handles</t>
        </is>
      </c>
      <c r="D1" s="1" t="inlineStr">
        <is>
          <t>New paying creators</t>
        </is>
      </c>
      <c r="E1" s="1" t="inlineStr">
        <is>
          <t>Paying creators</t>
        </is>
      </c>
      <c r="F1" s="1" t="inlineStr">
        <is>
          <t>New B2B</t>
        </is>
      </c>
      <c r="G1" s="1" t="inlineStr">
        <is>
          <t>B2B accounts</t>
        </is>
      </c>
      <c r="H1" s="1" t="inlineStr">
        <is>
          <t>MRR</t>
        </is>
      </c>
      <c r="I1" s="1" t="inlineStr">
        <is>
          <t>ARR</t>
        </is>
      </c>
      <c r="J1" s="1" t="inlineStr">
        <is>
          <t>Hit $1M?</t>
        </is>
      </c>
    </row>
    <row r="2">
      <c r="A2" t="n">
        <v>0</v>
      </c>
      <c r="B2" s="2">
        <f>EDATE(DATE(2026,11,1),A2)</f>
        <v/>
      </c>
      <c r="C2" s="4">
        <f>Inputs!$B$3*(1+Inputs!$B$4)^A2</f>
        <v/>
      </c>
      <c r="D2" s="8">
        <f>C2*Inputs!$B$5*Inputs!$B$6*Inputs!$B$7</f>
        <v/>
      </c>
      <c r="E2" s="4">
        <f>0*(1-Inputs!$B$8)+D2</f>
        <v/>
      </c>
      <c r="F2" s="8">
        <f>Inputs!$B$10*(1+Inputs!$B$11)^A2</f>
        <v/>
      </c>
      <c r="G2" s="8">
        <f>0*(1-Inputs!$B$13)+F2</f>
        <v/>
      </c>
      <c r="H2" s="3">
        <f>E2*Inputs!$B$9+G2*Inputs!$B$12</f>
        <v/>
      </c>
      <c r="I2" s="3">
        <f>H2*12</f>
        <v/>
      </c>
      <c r="J2">
        <f>IF(I2&gt;=Inputs!$B$2,"YES","")</f>
        <v/>
      </c>
    </row>
    <row r="3">
      <c r="A3" t="n">
        <v>1</v>
      </c>
      <c r="B3" s="2">
        <f>EDATE(DATE(2026,11,1),A3)</f>
        <v/>
      </c>
      <c r="C3" s="4">
        <f>Inputs!$B$3*(1+Inputs!$B$4)^A3</f>
        <v/>
      </c>
      <c r="D3" s="8">
        <f>C3*Inputs!$B$5*Inputs!$B$6*Inputs!$B$7</f>
        <v/>
      </c>
      <c r="E3" s="4">
        <f>E2*(1-Inputs!$B$8)+D3</f>
        <v/>
      </c>
      <c r="F3" s="8">
        <f>Inputs!$B$10*(1+Inputs!$B$11)^A3</f>
        <v/>
      </c>
      <c r="G3" s="8">
        <f>G2*(1-Inputs!$B$13)+F3</f>
        <v/>
      </c>
      <c r="H3" s="3">
        <f>E3*Inputs!$B$9+G3*Inputs!$B$12</f>
        <v/>
      </c>
      <c r="I3" s="3">
        <f>H3*12</f>
        <v/>
      </c>
      <c r="J3">
        <f>IF(I3&gt;=Inputs!$B$2,"YES","")</f>
        <v/>
      </c>
    </row>
    <row r="4">
      <c r="A4" t="n">
        <v>2</v>
      </c>
      <c r="B4" s="2">
        <f>EDATE(DATE(2026,11,1),A4)</f>
        <v/>
      </c>
      <c r="C4" s="4">
        <f>Inputs!$B$3*(1+Inputs!$B$4)^A4</f>
        <v/>
      </c>
      <c r="D4" s="8">
        <f>C4*Inputs!$B$5*Inputs!$B$6*Inputs!$B$7</f>
        <v/>
      </c>
      <c r="E4" s="4">
        <f>E3*(1-Inputs!$B$8)+D4</f>
        <v/>
      </c>
      <c r="F4" s="8">
        <f>Inputs!$B$10*(1+Inputs!$B$11)^A4</f>
        <v/>
      </c>
      <c r="G4" s="8">
        <f>G3*(1-Inputs!$B$13)+F4</f>
        <v/>
      </c>
      <c r="H4" s="3">
        <f>E4*Inputs!$B$9+G4*Inputs!$B$12</f>
        <v/>
      </c>
      <c r="I4" s="3">
        <f>H4*12</f>
        <v/>
      </c>
      <c r="J4">
        <f>IF(I4&gt;=Inputs!$B$2,"YES","")</f>
        <v/>
      </c>
    </row>
    <row r="5">
      <c r="A5" t="n">
        <v>3</v>
      </c>
      <c r="B5" s="2">
        <f>EDATE(DATE(2026,11,1),A5)</f>
        <v/>
      </c>
      <c r="C5" s="4">
        <f>Inputs!$B$3*(1+Inputs!$B$4)^A5</f>
        <v/>
      </c>
      <c r="D5" s="8">
        <f>C5*Inputs!$B$5*Inputs!$B$6*Inputs!$B$7</f>
        <v/>
      </c>
      <c r="E5" s="4">
        <f>E4*(1-Inputs!$B$8)+D5</f>
        <v/>
      </c>
      <c r="F5" s="8">
        <f>Inputs!$B$10*(1+Inputs!$B$11)^A5</f>
        <v/>
      </c>
      <c r="G5" s="8">
        <f>G4*(1-Inputs!$B$13)+F5</f>
        <v/>
      </c>
      <c r="H5" s="3">
        <f>E5*Inputs!$B$9+G5*Inputs!$B$12</f>
        <v/>
      </c>
      <c r="I5" s="3">
        <f>H5*12</f>
        <v/>
      </c>
      <c r="J5">
        <f>IF(I5&gt;=Inputs!$B$2,"YES","")</f>
        <v/>
      </c>
    </row>
    <row r="6">
      <c r="A6" t="n">
        <v>4</v>
      </c>
      <c r="B6" s="2">
        <f>EDATE(DATE(2026,11,1),A6)</f>
        <v/>
      </c>
      <c r="C6" s="4">
        <f>Inputs!$B$3*(1+Inputs!$B$4)^A6</f>
        <v/>
      </c>
      <c r="D6" s="8">
        <f>C6*Inputs!$B$5*Inputs!$B$6*Inputs!$B$7</f>
        <v/>
      </c>
      <c r="E6" s="4">
        <f>E5*(1-Inputs!$B$8)+D6</f>
        <v/>
      </c>
      <c r="F6" s="8">
        <f>Inputs!$B$10*(1+Inputs!$B$11)^A6</f>
        <v/>
      </c>
      <c r="G6" s="8">
        <f>G5*(1-Inputs!$B$13)+F6</f>
        <v/>
      </c>
      <c r="H6" s="3">
        <f>E6*Inputs!$B$9+G6*Inputs!$B$12</f>
        <v/>
      </c>
      <c r="I6" s="3">
        <f>H6*12</f>
        <v/>
      </c>
      <c r="J6">
        <f>IF(I6&gt;=Inputs!$B$2,"YES","")</f>
        <v/>
      </c>
    </row>
    <row r="7">
      <c r="A7" t="n">
        <v>5</v>
      </c>
      <c r="B7" s="2">
        <f>EDATE(DATE(2026,11,1),A7)</f>
        <v/>
      </c>
      <c r="C7" s="4">
        <f>Inputs!$B$3*(1+Inputs!$B$4)^A7</f>
        <v/>
      </c>
      <c r="D7" s="8">
        <f>C7*Inputs!$B$5*Inputs!$B$6*Inputs!$B$7</f>
        <v/>
      </c>
      <c r="E7" s="4">
        <f>E6*(1-Inputs!$B$8)+D7</f>
        <v/>
      </c>
      <c r="F7" s="8">
        <f>Inputs!$B$10*(1+Inputs!$B$11)^A7</f>
        <v/>
      </c>
      <c r="G7" s="8">
        <f>G6*(1-Inputs!$B$13)+F7</f>
        <v/>
      </c>
      <c r="H7" s="3">
        <f>E7*Inputs!$B$9+G7*Inputs!$B$12</f>
        <v/>
      </c>
      <c r="I7" s="3">
        <f>H7*12</f>
        <v/>
      </c>
      <c r="J7">
        <f>IF(I7&gt;=Inputs!$B$2,"YES","")</f>
        <v/>
      </c>
    </row>
    <row r="8">
      <c r="A8" t="n">
        <v>6</v>
      </c>
      <c r="B8" s="2">
        <f>EDATE(DATE(2026,11,1),A8)</f>
        <v/>
      </c>
      <c r="C8" s="4">
        <f>Inputs!$B$3*(1+Inputs!$B$4)^A8</f>
        <v/>
      </c>
      <c r="D8" s="8">
        <f>C8*Inputs!$B$5*Inputs!$B$6*Inputs!$B$7</f>
        <v/>
      </c>
      <c r="E8" s="4">
        <f>E7*(1-Inputs!$B$8)+D8</f>
        <v/>
      </c>
      <c r="F8" s="8">
        <f>Inputs!$B$10*(1+Inputs!$B$11)^A8</f>
        <v/>
      </c>
      <c r="G8" s="8">
        <f>G7*(1-Inputs!$B$13)+F8</f>
        <v/>
      </c>
      <c r="H8" s="3">
        <f>E8*Inputs!$B$9+G8*Inputs!$B$12</f>
        <v/>
      </c>
      <c r="I8" s="3">
        <f>H8*12</f>
        <v/>
      </c>
      <c r="J8">
        <f>IF(I8&gt;=Inputs!$B$2,"YES","")</f>
        <v/>
      </c>
    </row>
    <row r="9">
      <c r="A9" t="n">
        <v>7</v>
      </c>
      <c r="B9" s="2">
        <f>EDATE(DATE(2026,11,1),A9)</f>
        <v/>
      </c>
      <c r="C9" s="4">
        <f>Inputs!$B$3*(1+Inputs!$B$4)^A9</f>
        <v/>
      </c>
      <c r="D9" s="8">
        <f>C9*Inputs!$B$5*Inputs!$B$6*Inputs!$B$7</f>
        <v/>
      </c>
      <c r="E9" s="4">
        <f>E8*(1-Inputs!$B$8)+D9</f>
        <v/>
      </c>
      <c r="F9" s="8">
        <f>Inputs!$B$10*(1+Inputs!$B$11)^A9</f>
        <v/>
      </c>
      <c r="G9" s="8">
        <f>G8*(1-Inputs!$B$13)+F9</f>
        <v/>
      </c>
      <c r="H9" s="3">
        <f>E9*Inputs!$B$9+G9*Inputs!$B$12</f>
        <v/>
      </c>
      <c r="I9" s="3">
        <f>H9*12</f>
        <v/>
      </c>
      <c r="J9">
        <f>IF(I9&gt;=Inputs!$B$2,"YES","")</f>
        <v/>
      </c>
    </row>
    <row r="10">
      <c r="A10" t="n">
        <v>8</v>
      </c>
      <c r="B10" s="2">
        <f>EDATE(DATE(2026,11,1),A10)</f>
        <v/>
      </c>
      <c r="C10" s="4">
        <f>Inputs!$B$3*(1+Inputs!$B$4)^A10</f>
        <v/>
      </c>
      <c r="D10" s="8">
        <f>C10*Inputs!$B$5*Inputs!$B$6*Inputs!$B$7</f>
        <v/>
      </c>
      <c r="E10" s="4">
        <f>E9*(1-Inputs!$B$8)+D10</f>
        <v/>
      </c>
      <c r="F10" s="8">
        <f>Inputs!$B$10*(1+Inputs!$B$11)^A10</f>
        <v/>
      </c>
      <c r="G10" s="8">
        <f>G9*(1-Inputs!$B$13)+F10</f>
        <v/>
      </c>
      <c r="H10" s="3">
        <f>E10*Inputs!$B$9+G10*Inputs!$B$12</f>
        <v/>
      </c>
      <c r="I10" s="3">
        <f>H10*12</f>
        <v/>
      </c>
      <c r="J10">
        <f>IF(I10&gt;=Inputs!$B$2,"YES","")</f>
        <v/>
      </c>
    </row>
    <row r="11">
      <c r="A11" t="n">
        <v>9</v>
      </c>
      <c r="B11" s="2">
        <f>EDATE(DATE(2026,11,1),A11)</f>
        <v/>
      </c>
      <c r="C11" s="4">
        <f>Inputs!$B$3*(1+Inputs!$B$4)^A11</f>
        <v/>
      </c>
      <c r="D11" s="8">
        <f>C11*Inputs!$B$5*Inputs!$B$6*Inputs!$B$7</f>
        <v/>
      </c>
      <c r="E11" s="4">
        <f>E10*(1-Inputs!$B$8)+D11</f>
        <v/>
      </c>
      <c r="F11" s="8">
        <f>Inputs!$B$10*(1+Inputs!$B$11)^A11</f>
        <v/>
      </c>
      <c r="G11" s="8">
        <f>G10*(1-Inputs!$B$13)+F11</f>
        <v/>
      </c>
      <c r="H11" s="3">
        <f>E11*Inputs!$B$9+G11*Inputs!$B$12</f>
        <v/>
      </c>
      <c r="I11" s="3">
        <f>H11*12</f>
        <v/>
      </c>
      <c r="J11">
        <f>IF(I11&gt;=Inputs!$B$2,"YES","")</f>
        <v/>
      </c>
    </row>
    <row r="12">
      <c r="A12" t="n">
        <v>10</v>
      </c>
      <c r="B12" s="2">
        <f>EDATE(DATE(2026,11,1),A12)</f>
        <v/>
      </c>
      <c r="C12" s="4">
        <f>Inputs!$B$3*(1+Inputs!$B$4)^A12</f>
        <v/>
      </c>
      <c r="D12" s="8">
        <f>C12*Inputs!$B$5*Inputs!$B$6*Inputs!$B$7</f>
        <v/>
      </c>
      <c r="E12" s="4">
        <f>E11*(1-Inputs!$B$8)+D12</f>
        <v/>
      </c>
      <c r="F12" s="8">
        <f>Inputs!$B$10*(1+Inputs!$B$11)^A12</f>
        <v/>
      </c>
      <c r="G12" s="8">
        <f>G11*(1-Inputs!$B$13)+F12</f>
        <v/>
      </c>
      <c r="H12" s="3">
        <f>E12*Inputs!$B$9+G12*Inputs!$B$12</f>
        <v/>
      </c>
      <c r="I12" s="3">
        <f>H12*12</f>
        <v/>
      </c>
      <c r="J12">
        <f>IF(I12&gt;=Inputs!$B$2,"YES","")</f>
        <v/>
      </c>
    </row>
    <row r="13">
      <c r="A13" t="n">
        <v>11</v>
      </c>
      <c r="B13" s="2">
        <f>EDATE(DATE(2026,11,1),A13)</f>
        <v/>
      </c>
      <c r="C13" s="4">
        <f>Inputs!$B$3*(1+Inputs!$B$4)^A13</f>
        <v/>
      </c>
      <c r="D13" s="8">
        <f>C13*Inputs!$B$5*Inputs!$B$6*Inputs!$B$7</f>
        <v/>
      </c>
      <c r="E13" s="4">
        <f>E12*(1-Inputs!$B$8)+D13</f>
        <v/>
      </c>
      <c r="F13" s="8">
        <f>Inputs!$B$10*(1+Inputs!$B$11)^A13</f>
        <v/>
      </c>
      <c r="G13" s="8">
        <f>G12*(1-Inputs!$B$13)+F13</f>
        <v/>
      </c>
      <c r="H13" s="3">
        <f>E13*Inputs!$B$9+G13*Inputs!$B$12</f>
        <v/>
      </c>
      <c r="I13" s="3">
        <f>H13*12</f>
        <v/>
      </c>
      <c r="J13">
        <f>IF(I13&gt;=Inputs!$B$2,"YES","")</f>
        <v/>
      </c>
    </row>
    <row r="14">
      <c r="A14" t="n">
        <v>12</v>
      </c>
      <c r="B14" s="2">
        <f>EDATE(DATE(2026,11,1),A14)</f>
        <v/>
      </c>
      <c r="C14" s="4">
        <f>Inputs!$B$3*(1+Inputs!$B$4)^A14</f>
        <v/>
      </c>
      <c r="D14" s="8">
        <f>C14*Inputs!$B$5*Inputs!$B$6*Inputs!$B$7</f>
        <v/>
      </c>
      <c r="E14" s="4">
        <f>E13*(1-Inputs!$B$8)+D14</f>
        <v/>
      </c>
      <c r="F14" s="8">
        <f>Inputs!$B$10*(1+Inputs!$B$11)^A14</f>
        <v/>
      </c>
      <c r="G14" s="8">
        <f>G13*(1-Inputs!$B$13)+F14</f>
        <v/>
      </c>
      <c r="H14" s="3">
        <f>E14*Inputs!$B$9+G14*Inputs!$B$12</f>
        <v/>
      </c>
      <c r="I14" s="3">
        <f>H14*12</f>
        <v/>
      </c>
      <c r="J14">
        <f>IF(I14&gt;=Inputs!$B$2,"YES","")</f>
        <v/>
      </c>
    </row>
    <row r="15">
      <c r="A15" t="n">
        <v>13</v>
      </c>
      <c r="B15" s="2">
        <f>EDATE(DATE(2026,11,1),A15)</f>
        <v/>
      </c>
      <c r="C15" s="4">
        <f>Inputs!$B$3*(1+Inputs!$B$4)^A15</f>
        <v/>
      </c>
      <c r="D15" s="8">
        <f>C15*Inputs!$B$5*Inputs!$B$6*Inputs!$B$7</f>
        <v/>
      </c>
      <c r="E15" s="4">
        <f>E14*(1-Inputs!$B$8)+D15</f>
        <v/>
      </c>
      <c r="F15" s="8">
        <f>Inputs!$B$10*(1+Inputs!$B$11)^A15</f>
        <v/>
      </c>
      <c r="G15" s="8">
        <f>G14*(1-Inputs!$B$13)+F15</f>
        <v/>
      </c>
      <c r="H15" s="3">
        <f>E15*Inputs!$B$9+G15*Inputs!$B$12</f>
        <v/>
      </c>
      <c r="I15" s="3">
        <f>H15*12</f>
        <v/>
      </c>
      <c r="J15">
        <f>IF(I15&gt;=Inputs!$B$2,"YES","")</f>
        <v/>
      </c>
    </row>
    <row r="16">
      <c r="A16" t="n">
        <v>14</v>
      </c>
      <c r="B16" s="2">
        <f>EDATE(DATE(2026,11,1),A16)</f>
        <v/>
      </c>
      <c r="C16" s="4">
        <f>Inputs!$B$3*(1+Inputs!$B$4)^A16</f>
        <v/>
      </c>
      <c r="D16" s="8">
        <f>C16*Inputs!$B$5*Inputs!$B$6*Inputs!$B$7</f>
        <v/>
      </c>
      <c r="E16" s="4">
        <f>E15*(1-Inputs!$B$8)+D16</f>
        <v/>
      </c>
      <c r="F16" s="8">
        <f>Inputs!$B$10*(1+Inputs!$B$11)^A16</f>
        <v/>
      </c>
      <c r="G16" s="8">
        <f>G15*(1-Inputs!$B$13)+F16</f>
        <v/>
      </c>
      <c r="H16" s="3">
        <f>E16*Inputs!$B$9+G16*Inputs!$B$12</f>
        <v/>
      </c>
      <c r="I16" s="3">
        <f>H16*12</f>
        <v/>
      </c>
      <c r="J16">
        <f>IF(I16&gt;=Inputs!$B$2,"YES","")</f>
        <v/>
      </c>
    </row>
    <row r="17">
      <c r="A17" t="n">
        <v>15</v>
      </c>
      <c r="B17" s="2">
        <f>EDATE(DATE(2026,11,1),A17)</f>
        <v/>
      </c>
      <c r="C17" s="4">
        <f>Inputs!$B$3*(1+Inputs!$B$4)^A17</f>
        <v/>
      </c>
      <c r="D17" s="8">
        <f>C17*Inputs!$B$5*Inputs!$B$6*Inputs!$B$7</f>
        <v/>
      </c>
      <c r="E17" s="4">
        <f>E16*(1-Inputs!$B$8)+D17</f>
        <v/>
      </c>
      <c r="F17" s="8">
        <f>Inputs!$B$10*(1+Inputs!$B$11)^A17</f>
        <v/>
      </c>
      <c r="G17" s="8">
        <f>G16*(1-Inputs!$B$13)+F17</f>
        <v/>
      </c>
      <c r="H17" s="3">
        <f>E17*Inputs!$B$9+G17*Inputs!$B$12</f>
        <v/>
      </c>
      <c r="I17" s="3">
        <f>H17*12</f>
        <v/>
      </c>
      <c r="J17">
        <f>IF(I17&gt;=Inputs!$B$2,"YES","")</f>
        <v/>
      </c>
    </row>
    <row r="18">
      <c r="A18" t="n">
        <v>16</v>
      </c>
      <c r="B18" s="2">
        <f>EDATE(DATE(2026,11,1),A18)</f>
        <v/>
      </c>
      <c r="C18" s="4">
        <f>Inputs!$B$3*(1+Inputs!$B$4)^A18</f>
        <v/>
      </c>
      <c r="D18" s="8">
        <f>C18*Inputs!$B$5*Inputs!$B$6*Inputs!$B$7</f>
        <v/>
      </c>
      <c r="E18" s="4">
        <f>E17*(1-Inputs!$B$8)+D18</f>
        <v/>
      </c>
      <c r="F18" s="8">
        <f>Inputs!$B$10*(1+Inputs!$B$11)^A18</f>
        <v/>
      </c>
      <c r="G18" s="8">
        <f>G17*(1-Inputs!$B$13)+F18</f>
        <v/>
      </c>
      <c r="H18" s="3">
        <f>E18*Inputs!$B$9+G18*Inputs!$B$12</f>
        <v/>
      </c>
      <c r="I18" s="3">
        <f>H18*12</f>
        <v/>
      </c>
      <c r="J18">
        <f>IF(I18&gt;=Inputs!$B$2,"YES","")</f>
        <v/>
      </c>
    </row>
    <row r="19">
      <c r="A19" t="n">
        <v>17</v>
      </c>
      <c r="B19" s="2">
        <f>EDATE(DATE(2026,11,1),A19)</f>
        <v/>
      </c>
      <c r="C19" s="4">
        <f>Inputs!$B$3*(1+Inputs!$B$4)^A19</f>
        <v/>
      </c>
      <c r="D19" s="8">
        <f>C19*Inputs!$B$5*Inputs!$B$6*Inputs!$B$7</f>
        <v/>
      </c>
      <c r="E19" s="4">
        <f>E18*(1-Inputs!$B$8)+D19</f>
        <v/>
      </c>
      <c r="F19" s="8">
        <f>Inputs!$B$10*(1+Inputs!$B$11)^A19</f>
        <v/>
      </c>
      <c r="G19" s="8">
        <f>G18*(1-Inputs!$B$13)+F19</f>
        <v/>
      </c>
      <c r="H19" s="3">
        <f>E19*Inputs!$B$9+G19*Inputs!$B$12</f>
        <v/>
      </c>
      <c r="I19" s="3">
        <f>H19*12</f>
        <v/>
      </c>
      <c r="J19">
        <f>IF(I19&gt;=Inputs!$B$2,"YES","")</f>
        <v/>
      </c>
    </row>
    <row r="20">
      <c r="A20" t="n">
        <v>18</v>
      </c>
      <c r="B20" s="2">
        <f>EDATE(DATE(2026,11,1),A20)</f>
        <v/>
      </c>
      <c r="C20" s="4">
        <f>Inputs!$B$3*(1+Inputs!$B$4)^A20</f>
        <v/>
      </c>
      <c r="D20" s="8">
        <f>C20*Inputs!$B$5*Inputs!$B$6*Inputs!$B$7</f>
        <v/>
      </c>
      <c r="E20" s="4">
        <f>E19*(1-Inputs!$B$8)+D20</f>
        <v/>
      </c>
      <c r="F20" s="8">
        <f>Inputs!$B$10*(1+Inputs!$B$11)^A20</f>
        <v/>
      </c>
      <c r="G20" s="8">
        <f>G19*(1-Inputs!$B$13)+F20</f>
        <v/>
      </c>
      <c r="H20" s="3">
        <f>E20*Inputs!$B$9+G20*Inputs!$B$12</f>
        <v/>
      </c>
      <c r="I20" s="3">
        <f>H20*12</f>
        <v/>
      </c>
      <c r="J20">
        <f>IF(I20&gt;=Inputs!$B$2,"YES","")</f>
        <v/>
      </c>
    </row>
    <row r="21">
      <c r="A21" t="n">
        <v>19</v>
      </c>
      <c r="B21" s="2">
        <f>EDATE(DATE(2026,11,1),A21)</f>
        <v/>
      </c>
      <c r="C21" s="4">
        <f>Inputs!$B$3*(1+Inputs!$B$4)^A21</f>
        <v/>
      </c>
      <c r="D21" s="8">
        <f>C21*Inputs!$B$5*Inputs!$B$6*Inputs!$B$7</f>
        <v/>
      </c>
      <c r="E21" s="4">
        <f>E20*(1-Inputs!$B$8)+D21</f>
        <v/>
      </c>
      <c r="F21" s="8">
        <f>Inputs!$B$10*(1+Inputs!$B$11)^A21</f>
        <v/>
      </c>
      <c r="G21" s="8">
        <f>G20*(1-Inputs!$B$13)+F21</f>
        <v/>
      </c>
      <c r="H21" s="3">
        <f>E21*Inputs!$B$9+G21*Inputs!$B$12</f>
        <v/>
      </c>
      <c r="I21" s="3">
        <f>H21*12</f>
        <v/>
      </c>
      <c r="J21">
        <f>IF(I21&gt;=Inputs!$B$2,"YES","")</f>
        <v/>
      </c>
    </row>
    <row r="22">
      <c r="A22" t="n">
        <v>20</v>
      </c>
      <c r="B22" s="2">
        <f>EDATE(DATE(2026,11,1),A22)</f>
        <v/>
      </c>
      <c r="C22" s="4">
        <f>Inputs!$B$3*(1+Inputs!$B$4)^A22</f>
        <v/>
      </c>
      <c r="D22" s="8">
        <f>C22*Inputs!$B$5*Inputs!$B$6*Inputs!$B$7</f>
        <v/>
      </c>
      <c r="E22" s="4">
        <f>E21*(1-Inputs!$B$8)+D22</f>
        <v/>
      </c>
      <c r="F22" s="8">
        <f>Inputs!$B$10*(1+Inputs!$B$11)^A22</f>
        <v/>
      </c>
      <c r="G22" s="8">
        <f>G21*(1-Inputs!$B$13)+F22</f>
        <v/>
      </c>
      <c r="H22" s="3">
        <f>E22*Inputs!$B$9+G22*Inputs!$B$12</f>
        <v/>
      </c>
      <c r="I22" s="3">
        <f>H22*12</f>
        <v/>
      </c>
      <c r="J22">
        <f>IF(I22&gt;=Inputs!$B$2,"YES","")</f>
        <v/>
      </c>
    </row>
    <row r="23">
      <c r="A23" t="n">
        <v>21</v>
      </c>
      <c r="B23" s="2">
        <f>EDATE(DATE(2026,11,1),A23)</f>
        <v/>
      </c>
      <c r="C23" s="4">
        <f>Inputs!$B$3*(1+Inputs!$B$4)^A23</f>
        <v/>
      </c>
      <c r="D23" s="8">
        <f>C23*Inputs!$B$5*Inputs!$B$6*Inputs!$B$7</f>
        <v/>
      </c>
      <c r="E23" s="4">
        <f>E22*(1-Inputs!$B$8)+D23</f>
        <v/>
      </c>
      <c r="F23" s="8">
        <f>Inputs!$B$10*(1+Inputs!$B$11)^A23</f>
        <v/>
      </c>
      <c r="G23" s="8">
        <f>G22*(1-Inputs!$B$13)+F23</f>
        <v/>
      </c>
      <c r="H23" s="3">
        <f>E23*Inputs!$B$9+G23*Inputs!$B$12</f>
        <v/>
      </c>
      <c r="I23" s="3">
        <f>H23*12</f>
        <v/>
      </c>
      <c r="J23">
        <f>IF(I23&gt;=Inputs!$B$2,"YES","")</f>
        <v/>
      </c>
    </row>
    <row r="24">
      <c r="A24" t="n">
        <v>22</v>
      </c>
      <c r="B24" s="2">
        <f>EDATE(DATE(2026,11,1),A24)</f>
        <v/>
      </c>
      <c r="C24" s="4">
        <f>Inputs!$B$3*(1+Inputs!$B$4)^A24</f>
        <v/>
      </c>
      <c r="D24" s="8">
        <f>C24*Inputs!$B$5*Inputs!$B$6*Inputs!$B$7</f>
        <v/>
      </c>
      <c r="E24" s="4">
        <f>E23*(1-Inputs!$B$8)+D24</f>
        <v/>
      </c>
      <c r="F24" s="8">
        <f>Inputs!$B$10*(1+Inputs!$B$11)^A24</f>
        <v/>
      </c>
      <c r="G24" s="8">
        <f>G23*(1-Inputs!$B$13)+F24</f>
        <v/>
      </c>
      <c r="H24" s="3">
        <f>E24*Inputs!$B$9+G24*Inputs!$B$12</f>
        <v/>
      </c>
      <c r="I24" s="3">
        <f>H24*12</f>
        <v/>
      </c>
      <c r="J24">
        <f>IF(I24&gt;=Inputs!$B$2,"YES","")</f>
        <v/>
      </c>
    </row>
    <row r="25">
      <c r="A25" t="n">
        <v>23</v>
      </c>
      <c r="B25" s="2">
        <f>EDATE(DATE(2026,11,1),A25)</f>
        <v/>
      </c>
      <c r="C25" s="4">
        <f>Inputs!$B$3*(1+Inputs!$B$4)^A25</f>
        <v/>
      </c>
      <c r="D25" s="8">
        <f>C25*Inputs!$B$5*Inputs!$B$6*Inputs!$B$7</f>
        <v/>
      </c>
      <c r="E25" s="4">
        <f>E24*(1-Inputs!$B$8)+D25</f>
        <v/>
      </c>
      <c r="F25" s="8">
        <f>Inputs!$B$10*(1+Inputs!$B$11)^A25</f>
        <v/>
      </c>
      <c r="G25" s="8">
        <f>G24*(1-Inputs!$B$13)+F25</f>
        <v/>
      </c>
      <c r="H25" s="3">
        <f>E25*Inputs!$B$9+G25*Inputs!$B$12</f>
        <v/>
      </c>
      <c r="I25" s="3">
        <f>H25*12</f>
        <v/>
      </c>
      <c r="J25">
        <f>IF(I25&gt;=Inputs!$B$2,"YES","")</f>
        <v/>
      </c>
    </row>
    <row r="26">
      <c r="A26" t="n">
        <v>24</v>
      </c>
      <c r="B26" s="2">
        <f>EDATE(DATE(2026,11,1),A26)</f>
        <v/>
      </c>
      <c r="C26" s="4">
        <f>Inputs!$B$3*(1+Inputs!$B$4)^A26</f>
        <v/>
      </c>
      <c r="D26" s="8">
        <f>C26*Inputs!$B$5*Inputs!$B$6*Inputs!$B$7</f>
        <v/>
      </c>
      <c r="E26" s="4">
        <f>E25*(1-Inputs!$B$8)+D26</f>
        <v/>
      </c>
      <c r="F26" s="8">
        <f>Inputs!$B$10*(1+Inputs!$B$11)^A26</f>
        <v/>
      </c>
      <c r="G26" s="8">
        <f>G25*(1-Inputs!$B$13)+F26</f>
        <v/>
      </c>
      <c r="H26" s="3">
        <f>E26*Inputs!$B$9+G26*Inputs!$B$12</f>
        <v/>
      </c>
      <c r="I26" s="3">
        <f>H26*12</f>
        <v/>
      </c>
      <c r="J26">
        <f>IF(I26&gt;=Inputs!$B$2,"YES","")</f>
        <v/>
      </c>
    </row>
    <row r="27">
      <c r="A27" t="n">
        <v>25</v>
      </c>
      <c r="B27" s="2">
        <f>EDATE(DATE(2026,11,1),A27)</f>
        <v/>
      </c>
      <c r="C27" s="4">
        <f>Inputs!$B$3*(1+Inputs!$B$4)^A27</f>
        <v/>
      </c>
      <c r="D27" s="8">
        <f>C27*Inputs!$B$5*Inputs!$B$6*Inputs!$B$7</f>
        <v/>
      </c>
      <c r="E27" s="4">
        <f>E26*(1-Inputs!$B$8)+D27</f>
        <v/>
      </c>
      <c r="F27" s="8">
        <f>Inputs!$B$10*(1+Inputs!$B$11)^A27</f>
        <v/>
      </c>
      <c r="G27" s="8">
        <f>G26*(1-Inputs!$B$13)+F27</f>
        <v/>
      </c>
      <c r="H27" s="3">
        <f>E27*Inputs!$B$9+G27*Inputs!$B$12</f>
        <v/>
      </c>
      <c r="I27" s="3">
        <f>H27*12</f>
        <v/>
      </c>
      <c r="J27">
        <f>IF(I27&gt;=Inputs!$B$2,"YES","")</f>
        <v/>
      </c>
    </row>
    <row r="28">
      <c r="A28" t="n">
        <v>26</v>
      </c>
      <c r="B28" s="2">
        <f>EDATE(DATE(2026,11,1),A28)</f>
        <v/>
      </c>
      <c r="C28" s="4">
        <f>Inputs!$B$3*(1+Inputs!$B$4)^A28</f>
        <v/>
      </c>
      <c r="D28" s="8">
        <f>C28*Inputs!$B$5*Inputs!$B$6*Inputs!$B$7</f>
        <v/>
      </c>
      <c r="E28" s="4">
        <f>E27*(1-Inputs!$B$8)+D28</f>
        <v/>
      </c>
      <c r="F28" s="8">
        <f>Inputs!$B$10*(1+Inputs!$B$11)^A28</f>
        <v/>
      </c>
      <c r="G28" s="8">
        <f>G27*(1-Inputs!$B$13)+F28</f>
        <v/>
      </c>
      <c r="H28" s="3">
        <f>E28*Inputs!$B$9+G28*Inputs!$B$12</f>
        <v/>
      </c>
      <c r="I28" s="3">
        <f>H28*12</f>
        <v/>
      </c>
      <c r="J28">
        <f>IF(I28&gt;=Inputs!$B$2,"YES","")</f>
        <v/>
      </c>
    </row>
    <row r="29">
      <c r="A29" t="n">
        <v>27</v>
      </c>
      <c r="B29" s="2">
        <f>EDATE(DATE(2026,11,1),A29)</f>
        <v/>
      </c>
      <c r="C29" s="4">
        <f>Inputs!$B$3*(1+Inputs!$B$4)^A29</f>
        <v/>
      </c>
      <c r="D29" s="8">
        <f>C29*Inputs!$B$5*Inputs!$B$6*Inputs!$B$7</f>
        <v/>
      </c>
      <c r="E29" s="4">
        <f>E28*(1-Inputs!$B$8)+D29</f>
        <v/>
      </c>
      <c r="F29" s="8">
        <f>Inputs!$B$10*(1+Inputs!$B$11)^A29</f>
        <v/>
      </c>
      <c r="G29" s="8">
        <f>G28*(1-Inputs!$B$13)+F29</f>
        <v/>
      </c>
      <c r="H29" s="3">
        <f>E29*Inputs!$B$9+G29*Inputs!$B$12</f>
        <v/>
      </c>
      <c r="I29" s="3">
        <f>H29*12</f>
        <v/>
      </c>
      <c r="J29">
        <f>IF(I29&gt;=Inputs!$B$2,"YES","")</f>
        <v/>
      </c>
    </row>
    <row r="30">
      <c r="A30" t="n">
        <v>28</v>
      </c>
      <c r="B30" s="2">
        <f>EDATE(DATE(2026,11,1),A30)</f>
        <v/>
      </c>
      <c r="C30" s="4">
        <f>Inputs!$B$3*(1+Inputs!$B$4)^A30</f>
        <v/>
      </c>
      <c r="D30" s="8">
        <f>C30*Inputs!$B$5*Inputs!$B$6*Inputs!$B$7</f>
        <v/>
      </c>
      <c r="E30" s="4">
        <f>E29*(1-Inputs!$B$8)+D30</f>
        <v/>
      </c>
      <c r="F30" s="8">
        <f>Inputs!$B$10*(1+Inputs!$B$11)^A30</f>
        <v/>
      </c>
      <c r="G30" s="8">
        <f>G29*(1-Inputs!$B$13)+F30</f>
        <v/>
      </c>
      <c r="H30" s="3">
        <f>E30*Inputs!$B$9+G30*Inputs!$B$12</f>
        <v/>
      </c>
      <c r="I30" s="3">
        <f>H30*12</f>
        <v/>
      </c>
      <c r="J30">
        <f>IF(I30&gt;=Inputs!$B$2,"YES","")</f>
        <v/>
      </c>
    </row>
    <row r="31">
      <c r="A31" t="n">
        <v>29</v>
      </c>
      <c r="B31" s="2">
        <f>EDATE(DATE(2026,11,1),A31)</f>
        <v/>
      </c>
      <c r="C31" s="4">
        <f>Inputs!$B$3*(1+Inputs!$B$4)^A31</f>
        <v/>
      </c>
      <c r="D31" s="8">
        <f>C31*Inputs!$B$5*Inputs!$B$6*Inputs!$B$7</f>
        <v/>
      </c>
      <c r="E31" s="4">
        <f>E30*(1-Inputs!$B$8)+D31</f>
        <v/>
      </c>
      <c r="F31" s="8">
        <f>Inputs!$B$10*(1+Inputs!$B$11)^A31</f>
        <v/>
      </c>
      <c r="G31" s="8">
        <f>G30*(1-Inputs!$B$13)+F31</f>
        <v/>
      </c>
      <c r="H31" s="3">
        <f>E31*Inputs!$B$9+G31*Inputs!$B$12</f>
        <v/>
      </c>
      <c r="I31" s="3">
        <f>H31*12</f>
        <v/>
      </c>
      <c r="J31">
        <f>IF(I31&gt;=Inputs!$B$2,"YES","")</f>
        <v/>
      </c>
    </row>
    <row r="32">
      <c r="A32" t="n">
        <v>30</v>
      </c>
      <c r="B32" s="2">
        <f>EDATE(DATE(2026,11,1),A32)</f>
        <v/>
      </c>
      <c r="C32" s="4">
        <f>Inputs!$B$3*(1+Inputs!$B$4)^A32</f>
        <v/>
      </c>
      <c r="D32" s="8">
        <f>C32*Inputs!$B$5*Inputs!$B$6*Inputs!$B$7</f>
        <v/>
      </c>
      <c r="E32" s="4">
        <f>E31*(1-Inputs!$B$8)+D32</f>
        <v/>
      </c>
      <c r="F32" s="8">
        <f>Inputs!$B$10*(1+Inputs!$B$11)^A32</f>
        <v/>
      </c>
      <c r="G32" s="8">
        <f>G31*(1-Inputs!$B$13)+F32</f>
        <v/>
      </c>
      <c r="H32" s="3">
        <f>E32*Inputs!$B$9+G32*Inputs!$B$12</f>
        <v/>
      </c>
      <c r="I32" s="3">
        <f>H32*12</f>
        <v/>
      </c>
      <c r="J32">
        <f>IF(I32&gt;=Inputs!$B$2,"YES","")</f>
        <v/>
      </c>
    </row>
    <row r="33">
      <c r="A33" t="n">
        <v>31</v>
      </c>
      <c r="B33" s="2">
        <f>EDATE(DATE(2026,11,1),A33)</f>
        <v/>
      </c>
      <c r="C33" s="4">
        <f>Inputs!$B$3*(1+Inputs!$B$4)^A33</f>
        <v/>
      </c>
      <c r="D33" s="8">
        <f>C33*Inputs!$B$5*Inputs!$B$6*Inputs!$B$7</f>
        <v/>
      </c>
      <c r="E33" s="4">
        <f>E32*(1-Inputs!$B$8)+D33</f>
        <v/>
      </c>
      <c r="F33" s="8">
        <f>Inputs!$B$10*(1+Inputs!$B$11)^A33</f>
        <v/>
      </c>
      <c r="G33" s="8">
        <f>G32*(1-Inputs!$B$13)+F33</f>
        <v/>
      </c>
      <c r="H33" s="3">
        <f>E33*Inputs!$B$9+G33*Inputs!$B$12</f>
        <v/>
      </c>
      <c r="I33" s="3">
        <f>H33*12</f>
        <v/>
      </c>
      <c r="J33">
        <f>IF(I33&gt;=Inputs!$B$2,"YES","")</f>
        <v/>
      </c>
    </row>
    <row r="34">
      <c r="A34" t="n">
        <v>32</v>
      </c>
      <c r="B34" s="2">
        <f>EDATE(DATE(2026,11,1),A34)</f>
        <v/>
      </c>
      <c r="C34" s="4">
        <f>Inputs!$B$3*(1+Inputs!$B$4)^A34</f>
        <v/>
      </c>
      <c r="D34" s="8">
        <f>C34*Inputs!$B$5*Inputs!$B$6*Inputs!$B$7</f>
        <v/>
      </c>
      <c r="E34" s="4">
        <f>E33*(1-Inputs!$B$8)+D34</f>
        <v/>
      </c>
      <c r="F34" s="8">
        <f>Inputs!$B$10*(1+Inputs!$B$11)^A34</f>
        <v/>
      </c>
      <c r="G34" s="8">
        <f>G33*(1-Inputs!$B$13)+F34</f>
        <v/>
      </c>
      <c r="H34" s="3">
        <f>E34*Inputs!$B$9+G34*Inputs!$B$12</f>
        <v/>
      </c>
      <c r="I34" s="3">
        <f>H34*12</f>
        <v/>
      </c>
      <c r="J34">
        <f>IF(I34&gt;=Inputs!$B$2,"YES","")</f>
        <v/>
      </c>
    </row>
    <row r="35">
      <c r="A35" t="n">
        <v>33</v>
      </c>
      <c r="B35" s="2">
        <f>EDATE(DATE(2026,11,1),A35)</f>
        <v/>
      </c>
      <c r="C35" s="4">
        <f>Inputs!$B$3*(1+Inputs!$B$4)^A35</f>
        <v/>
      </c>
      <c r="D35" s="8">
        <f>C35*Inputs!$B$5*Inputs!$B$6*Inputs!$B$7</f>
        <v/>
      </c>
      <c r="E35" s="4">
        <f>E34*(1-Inputs!$B$8)+D35</f>
        <v/>
      </c>
      <c r="F35" s="8">
        <f>Inputs!$B$10*(1+Inputs!$B$11)^A35</f>
        <v/>
      </c>
      <c r="G35" s="8">
        <f>G34*(1-Inputs!$B$13)+F35</f>
        <v/>
      </c>
      <c r="H35" s="3">
        <f>E35*Inputs!$B$9+G35*Inputs!$B$12</f>
        <v/>
      </c>
      <c r="I35" s="3">
        <f>H35*12</f>
        <v/>
      </c>
      <c r="J35">
        <f>IF(I35&gt;=Inputs!$B$2,"YES","")</f>
        <v/>
      </c>
    </row>
    <row r="36">
      <c r="A36" t="n">
        <v>34</v>
      </c>
      <c r="B36" s="2">
        <f>EDATE(DATE(2026,11,1),A36)</f>
        <v/>
      </c>
      <c r="C36" s="4">
        <f>Inputs!$B$3*(1+Inputs!$B$4)^A36</f>
        <v/>
      </c>
      <c r="D36" s="8">
        <f>C36*Inputs!$B$5*Inputs!$B$6*Inputs!$B$7</f>
        <v/>
      </c>
      <c r="E36" s="4">
        <f>E35*(1-Inputs!$B$8)+D36</f>
        <v/>
      </c>
      <c r="F36" s="8">
        <f>Inputs!$B$10*(1+Inputs!$B$11)^A36</f>
        <v/>
      </c>
      <c r="G36" s="8">
        <f>G35*(1-Inputs!$B$13)+F36</f>
        <v/>
      </c>
      <c r="H36" s="3">
        <f>E36*Inputs!$B$9+G36*Inputs!$B$12</f>
        <v/>
      </c>
      <c r="I36" s="3">
        <f>H36*12</f>
        <v/>
      </c>
      <c r="J36">
        <f>IF(I36&gt;=Inputs!$B$2,"YES","")</f>
        <v/>
      </c>
    </row>
    <row r="37">
      <c r="A37" t="n">
        <v>35</v>
      </c>
      <c r="B37" s="2">
        <f>EDATE(DATE(2026,11,1),A37)</f>
        <v/>
      </c>
      <c r="C37" s="4">
        <f>Inputs!$B$3*(1+Inputs!$B$4)^A37</f>
        <v/>
      </c>
      <c r="D37" s="8">
        <f>C37*Inputs!$B$5*Inputs!$B$6*Inputs!$B$7</f>
        <v/>
      </c>
      <c r="E37" s="4">
        <f>E36*(1-Inputs!$B$8)+D37</f>
        <v/>
      </c>
      <c r="F37" s="8">
        <f>Inputs!$B$10*(1+Inputs!$B$11)^A37</f>
        <v/>
      </c>
      <c r="G37" s="8">
        <f>G36*(1-Inputs!$B$13)+F37</f>
        <v/>
      </c>
      <c r="H37" s="3">
        <f>E37*Inputs!$B$9+G37*Inputs!$B$12</f>
        <v/>
      </c>
      <c r="I37" s="3">
        <f>H37*12</f>
        <v/>
      </c>
      <c r="J37">
        <f>IF(I37&gt;=Inputs!$B$2,"YES","")</f>
        <v/>
      </c>
    </row>
    <row r="38">
      <c r="A38" t="n">
        <v>36</v>
      </c>
      <c r="B38" s="2">
        <f>EDATE(DATE(2026,11,1),A38)</f>
        <v/>
      </c>
      <c r="C38" s="4">
        <f>Inputs!$B$3*(1+Inputs!$B$4)^A38</f>
        <v/>
      </c>
      <c r="D38" s="8">
        <f>C38*Inputs!$B$5*Inputs!$B$6*Inputs!$B$7</f>
        <v/>
      </c>
      <c r="E38" s="4">
        <f>E37*(1-Inputs!$B$8)+D38</f>
        <v/>
      </c>
      <c r="F38" s="8">
        <f>Inputs!$B$10*(1+Inputs!$B$11)^A38</f>
        <v/>
      </c>
      <c r="G38" s="8">
        <f>G37*(1-Inputs!$B$13)+F38</f>
        <v/>
      </c>
      <c r="H38" s="3">
        <f>E38*Inputs!$B$9+G38*Inputs!$B$12</f>
        <v/>
      </c>
      <c r="I38" s="3">
        <f>H38*12</f>
        <v/>
      </c>
      <c r="J38">
        <f>IF(I38&gt;=Inputs!$B$2,"YES","")</f>
        <v/>
      </c>
    </row>
    <row r="39">
      <c r="A39" t="n">
        <v>37</v>
      </c>
      <c r="B39" s="2">
        <f>EDATE(DATE(2026,11,1),A39)</f>
        <v/>
      </c>
      <c r="C39" s="4">
        <f>Inputs!$B$3*(1+Inputs!$B$4)^A39</f>
        <v/>
      </c>
      <c r="D39" s="8">
        <f>C39*Inputs!$B$5*Inputs!$B$6*Inputs!$B$7</f>
        <v/>
      </c>
      <c r="E39" s="4">
        <f>E38*(1-Inputs!$B$8)+D39</f>
        <v/>
      </c>
      <c r="F39" s="8">
        <f>Inputs!$B$10*(1+Inputs!$B$11)^A39</f>
        <v/>
      </c>
      <c r="G39" s="8">
        <f>G38*(1-Inputs!$B$13)+F39</f>
        <v/>
      </c>
      <c r="H39" s="3">
        <f>E39*Inputs!$B$9+G39*Inputs!$B$12</f>
        <v/>
      </c>
      <c r="I39" s="3">
        <f>H39*12</f>
        <v/>
      </c>
      <c r="J39">
        <f>IF(I39&gt;=Inputs!$B$2,"YES","")</f>
        <v/>
      </c>
    </row>
    <row r="40">
      <c r="A40" t="n">
        <v>38</v>
      </c>
      <c r="B40" s="2">
        <f>EDATE(DATE(2026,11,1),A40)</f>
        <v/>
      </c>
      <c r="C40" s="4">
        <f>Inputs!$B$3*(1+Inputs!$B$4)^A40</f>
        <v/>
      </c>
      <c r="D40" s="8">
        <f>C40*Inputs!$B$5*Inputs!$B$6*Inputs!$B$7</f>
        <v/>
      </c>
      <c r="E40" s="4">
        <f>E39*(1-Inputs!$B$8)+D40</f>
        <v/>
      </c>
      <c r="F40" s="8">
        <f>Inputs!$B$10*(1+Inputs!$B$11)^A40</f>
        <v/>
      </c>
      <c r="G40" s="8">
        <f>G39*(1-Inputs!$B$13)+F40</f>
        <v/>
      </c>
      <c r="H40" s="3">
        <f>E40*Inputs!$B$9+G40*Inputs!$B$12</f>
        <v/>
      </c>
      <c r="I40" s="3">
        <f>H40*12</f>
        <v/>
      </c>
      <c r="J40">
        <f>IF(I40&gt;=Inputs!$B$2,"YES","")</f>
        <v/>
      </c>
    </row>
    <row r="41">
      <c r="A41" t="n">
        <v>39</v>
      </c>
      <c r="B41" s="2">
        <f>EDATE(DATE(2026,11,1),A41)</f>
        <v/>
      </c>
      <c r="C41" s="4">
        <f>Inputs!$B$3*(1+Inputs!$B$4)^A41</f>
        <v/>
      </c>
      <c r="D41" s="8">
        <f>C41*Inputs!$B$5*Inputs!$B$6*Inputs!$B$7</f>
        <v/>
      </c>
      <c r="E41" s="4">
        <f>E40*(1-Inputs!$B$8)+D41</f>
        <v/>
      </c>
      <c r="F41" s="8">
        <f>Inputs!$B$10*(1+Inputs!$B$11)^A41</f>
        <v/>
      </c>
      <c r="G41" s="8">
        <f>G40*(1-Inputs!$B$13)+F41</f>
        <v/>
      </c>
      <c r="H41" s="3">
        <f>E41*Inputs!$B$9+G41*Inputs!$B$12</f>
        <v/>
      </c>
      <c r="I41" s="3">
        <f>H41*12</f>
        <v/>
      </c>
      <c r="J41">
        <f>IF(I41&gt;=Inputs!$B$2,"YES","")</f>
        <v/>
      </c>
    </row>
    <row r="42">
      <c r="A42" t="n">
        <v>40</v>
      </c>
      <c r="B42" s="2">
        <f>EDATE(DATE(2026,11,1),A42)</f>
        <v/>
      </c>
      <c r="C42" s="4">
        <f>Inputs!$B$3*(1+Inputs!$B$4)^A42</f>
        <v/>
      </c>
      <c r="D42" s="8">
        <f>C42*Inputs!$B$5*Inputs!$B$6*Inputs!$B$7</f>
        <v/>
      </c>
      <c r="E42" s="4">
        <f>E41*(1-Inputs!$B$8)+D42</f>
        <v/>
      </c>
      <c r="F42" s="8">
        <f>Inputs!$B$10*(1+Inputs!$B$11)^A42</f>
        <v/>
      </c>
      <c r="G42" s="8">
        <f>G41*(1-Inputs!$B$13)+F42</f>
        <v/>
      </c>
      <c r="H42" s="3">
        <f>E42*Inputs!$B$9+G42*Inputs!$B$12</f>
        <v/>
      </c>
      <c r="I42" s="3">
        <f>H42*12</f>
        <v/>
      </c>
      <c r="J42">
        <f>IF(I42&gt;=Inputs!$B$2,"YES","")</f>
        <v/>
      </c>
    </row>
    <row r="43">
      <c r="A43" t="n">
        <v>41</v>
      </c>
      <c r="B43" s="2">
        <f>EDATE(DATE(2026,11,1),A43)</f>
        <v/>
      </c>
      <c r="C43" s="4">
        <f>Inputs!$B$3*(1+Inputs!$B$4)^A43</f>
        <v/>
      </c>
      <c r="D43" s="8">
        <f>C43*Inputs!$B$5*Inputs!$B$6*Inputs!$B$7</f>
        <v/>
      </c>
      <c r="E43" s="4">
        <f>E42*(1-Inputs!$B$8)+D43</f>
        <v/>
      </c>
      <c r="F43" s="8">
        <f>Inputs!$B$10*(1+Inputs!$B$11)^A43</f>
        <v/>
      </c>
      <c r="G43" s="8">
        <f>G42*(1-Inputs!$B$13)+F43</f>
        <v/>
      </c>
      <c r="H43" s="3">
        <f>E43*Inputs!$B$9+G43*Inputs!$B$12</f>
        <v/>
      </c>
      <c r="I43" s="3">
        <f>H43*12</f>
        <v/>
      </c>
      <c r="J43">
        <f>IF(I43&gt;=Inputs!$B$2,"YES","")</f>
        <v/>
      </c>
    </row>
    <row r="44">
      <c r="A44" t="n">
        <v>42</v>
      </c>
      <c r="B44" s="2">
        <f>EDATE(DATE(2026,11,1),A44)</f>
        <v/>
      </c>
      <c r="C44" s="4">
        <f>Inputs!$B$3*(1+Inputs!$B$4)^A44</f>
        <v/>
      </c>
      <c r="D44" s="8">
        <f>C44*Inputs!$B$5*Inputs!$B$6*Inputs!$B$7</f>
        <v/>
      </c>
      <c r="E44" s="4">
        <f>E43*(1-Inputs!$B$8)+D44</f>
        <v/>
      </c>
      <c r="F44" s="8">
        <f>Inputs!$B$10*(1+Inputs!$B$11)^A44</f>
        <v/>
      </c>
      <c r="G44" s="8">
        <f>G43*(1-Inputs!$B$13)+F44</f>
        <v/>
      </c>
      <c r="H44" s="3">
        <f>E44*Inputs!$B$9+G44*Inputs!$B$12</f>
        <v/>
      </c>
      <c r="I44" s="3">
        <f>H44*12</f>
        <v/>
      </c>
      <c r="J44">
        <f>IF(I44&gt;=Inputs!$B$2,"YES","")</f>
        <v/>
      </c>
    </row>
    <row r="45">
      <c r="A45" t="n">
        <v>43</v>
      </c>
      <c r="B45" s="2">
        <f>EDATE(DATE(2026,11,1),A45)</f>
        <v/>
      </c>
      <c r="C45" s="4">
        <f>Inputs!$B$3*(1+Inputs!$B$4)^A45</f>
        <v/>
      </c>
      <c r="D45" s="8">
        <f>C45*Inputs!$B$5*Inputs!$B$6*Inputs!$B$7</f>
        <v/>
      </c>
      <c r="E45" s="4">
        <f>E44*(1-Inputs!$B$8)+D45</f>
        <v/>
      </c>
      <c r="F45" s="8">
        <f>Inputs!$B$10*(1+Inputs!$B$11)^A45</f>
        <v/>
      </c>
      <c r="G45" s="8">
        <f>G44*(1-Inputs!$B$13)+F45</f>
        <v/>
      </c>
      <c r="H45" s="3">
        <f>E45*Inputs!$B$9+G45*Inputs!$B$12</f>
        <v/>
      </c>
      <c r="I45" s="3">
        <f>H45*12</f>
        <v/>
      </c>
      <c r="J45">
        <f>IF(I45&gt;=Inputs!$B$2,"YES","")</f>
        <v/>
      </c>
    </row>
    <row r="46">
      <c r="A46" t="n">
        <v>44</v>
      </c>
      <c r="B46" s="2">
        <f>EDATE(DATE(2026,11,1),A46)</f>
        <v/>
      </c>
      <c r="C46" s="4">
        <f>Inputs!$B$3*(1+Inputs!$B$4)^A46</f>
        <v/>
      </c>
      <c r="D46" s="8">
        <f>C46*Inputs!$B$5*Inputs!$B$6*Inputs!$B$7</f>
        <v/>
      </c>
      <c r="E46" s="4">
        <f>E45*(1-Inputs!$B$8)+D46</f>
        <v/>
      </c>
      <c r="F46" s="8">
        <f>Inputs!$B$10*(1+Inputs!$B$11)^A46</f>
        <v/>
      </c>
      <c r="G46" s="8">
        <f>G45*(1-Inputs!$B$13)+F46</f>
        <v/>
      </c>
      <c r="H46" s="3">
        <f>E46*Inputs!$B$9+G46*Inputs!$B$12</f>
        <v/>
      </c>
      <c r="I46" s="3">
        <f>H46*12</f>
        <v/>
      </c>
      <c r="J46">
        <f>IF(I46&gt;=Inputs!$B$2,"YES","")</f>
        <v/>
      </c>
    </row>
    <row r="47">
      <c r="A47" t="n">
        <v>45</v>
      </c>
      <c r="B47" s="2">
        <f>EDATE(DATE(2026,11,1),A47)</f>
        <v/>
      </c>
      <c r="C47" s="4">
        <f>Inputs!$B$3*(1+Inputs!$B$4)^A47</f>
        <v/>
      </c>
      <c r="D47" s="8">
        <f>C47*Inputs!$B$5*Inputs!$B$6*Inputs!$B$7</f>
        <v/>
      </c>
      <c r="E47" s="4">
        <f>E46*(1-Inputs!$B$8)+D47</f>
        <v/>
      </c>
      <c r="F47" s="8">
        <f>Inputs!$B$10*(1+Inputs!$B$11)^A47</f>
        <v/>
      </c>
      <c r="G47" s="8">
        <f>G46*(1-Inputs!$B$13)+F47</f>
        <v/>
      </c>
      <c r="H47" s="3">
        <f>E47*Inputs!$B$9+G47*Inputs!$B$12</f>
        <v/>
      </c>
      <c r="I47" s="3">
        <f>H47*12</f>
        <v/>
      </c>
      <c r="J47">
        <f>IF(I47&gt;=Inputs!$B$2,"YES","")</f>
        <v/>
      </c>
    </row>
    <row r="48">
      <c r="A48" t="n">
        <v>46</v>
      </c>
      <c r="B48" s="2">
        <f>EDATE(DATE(2026,11,1),A48)</f>
        <v/>
      </c>
      <c r="C48" s="4">
        <f>Inputs!$B$3*(1+Inputs!$B$4)^A48</f>
        <v/>
      </c>
      <c r="D48" s="8">
        <f>C48*Inputs!$B$5*Inputs!$B$6*Inputs!$B$7</f>
        <v/>
      </c>
      <c r="E48" s="4">
        <f>E47*(1-Inputs!$B$8)+D48</f>
        <v/>
      </c>
      <c r="F48" s="8">
        <f>Inputs!$B$10*(1+Inputs!$B$11)^A48</f>
        <v/>
      </c>
      <c r="G48" s="8">
        <f>G47*(1-Inputs!$B$13)+F48</f>
        <v/>
      </c>
      <c r="H48" s="3">
        <f>E48*Inputs!$B$9+G48*Inputs!$B$12</f>
        <v/>
      </c>
      <c r="I48" s="3">
        <f>H48*12</f>
        <v/>
      </c>
      <c r="J48">
        <f>IF(I48&gt;=Inputs!$B$2,"YES","")</f>
        <v/>
      </c>
    </row>
    <row r="49">
      <c r="A49" t="n">
        <v>47</v>
      </c>
      <c r="B49" s="2">
        <f>EDATE(DATE(2026,11,1),A49)</f>
        <v/>
      </c>
      <c r="C49" s="4">
        <f>Inputs!$B$3*(1+Inputs!$B$4)^A49</f>
        <v/>
      </c>
      <c r="D49" s="8">
        <f>C49*Inputs!$B$5*Inputs!$B$6*Inputs!$B$7</f>
        <v/>
      </c>
      <c r="E49" s="4">
        <f>E48*(1-Inputs!$B$8)+D49</f>
        <v/>
      </c>
      <c r="F49" s="8">
        <f>Inputs!$B$10*(1+Inputs!$B$11)^A49</f>
        <v/>
      </c>
      <c r="G49" s="8">
        <f>G48*(1-Inputs!$B$13)+F49</f>
        <v/>
      </c>
      <c r="H49" s="3">
        <f>E49*Inputs!$B$9+G49*Inputs!$B$12</f>
        <v/>
      </c>
      <c r="I49" s="3">
        <f>H49*12</f>
        <v/>
      </c>
      <c r="J49">
        <f>IF(I49&gt;=Inputs!$B$2,"YES","")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3" customWidth="1" min="5" max="5"/>
    <col width="9" customWidth="1" min="6" max="6"/>
    <col width="12" customWidth="1" min="7" max="7"/>
    <col width="12" customWidth="1" min="8" max="8"/>
    <col width="13" customWidth="1" min="9" max="9"/>
    <col width="9" customWidth="1" min="10" max="10"/>
  </cols>
  <sheetData>
    <row r="1">
      <c r="A1" s="1" t="inlineStr">
        <is>
          <t>Month #</t>
        </is>
      </c>
      <c r="B1" s="1" t="inlineStr">
        <is>
          <t>Month</t>
        </is>
      </c>
      <c r="C1" s="1" t="inlineStr">
        <is>
          <t>New handles</t>
        </is>
      </c>
      <c r="D1" s="1" t="inlineStr">
        <is>
          <t>New paying creators</t>
        </is>
      </c>
      <c r="E1" s="1" t="inlineStr">
        <is>
          <t>Paying creators</t>
        </is>
      </c>
      <c r="F1" s="1" t="inlineStr">
        <is>
          <t>New B2B</t>
        </is>
      </c>
      <c r="G1" s="1" t="inlineStr">
        <is>
          <t>B2B accounts</t>
        </is>
      </c>
      <c r="H1" s="1" t="inlineStr">
        <is>
          <t>MRR</t>
        </is>
      </c>
      <c r="I1" s="1" t="inlineStr">
        <is>
          <t>ARR</t>
        </is>
      </c>
      <c r="J1" s="1" t="inlineStr">
        <is>
          <t>Hit $1M?</t>
        </is>
      </c>
    </row>
    <row r="2">
      <c r="A2" t="n">
        <v>0</v>
      </c>
      <c r="B2" s="2">
        <f>EDATE(DATE(2026,11,1),A2)</f>
        <v/>
      </c>
      <c r="C2" s="4">
        <f>Inputs!$C$3*(1+Inputs!$C$4)^A2</f>
        <v/>
      </c>
      <c r="D2" s="8">
        <f>C2*Inputs!$C$5*Inputs!$C$6*Inputs!$C$7</f>
        <v/>
      </c>
      <c r="E2" s="4">
        <f>0*(1-Inputs!$C$8)+D2</f>
        <v/>
      </c>
      <c r="F2" s="8">
        <f>Inputs!$C$10*(1+Inputs!$C$11)^A2</f>
        <v/>
      </c>
      <c r="G2" s="8">
        <f>0*(1-Inputs!$C$13)+F2</f>
        <v/>
      </c>
      <c r="H2" s="3">
        <f>E2*Inputs!$C$9+G2*Inputs!$C$12</f>
        <v/>
      </c>
      <c r="I2" s="3">
        <f>H2*12</f>
        <v/>
      </c>
      <c r="J2">
        <f>IF(I2&gt;=Inputs!$C$2,"YES","")</f>
        <v/>
      </c>
    </row>
    <row r="3">
      <c r="A3" t="n">
        <v>1</v>
      </c>
      <c r="B3" s="2">
        <f>EDATE(DATE(2026,11,1),A3)</f>
        <v/>
      </c>
      <c r="C3" s="4">
        <f>Inputs!$C$3*(1+Inputs!$C$4)^A3</f>
        <v/>
      </c>
      <c r="D3" s="8">
        <f>C3*Inputs!$C$5*Inputs!$C$6*Inputs!$C$7</f>
        <v/>
      </c>
      <c r="E3" s="4">
        <f>E2*(1-Inputs!$C$8)+D3</f>
        <v/>
      </c>
      <c r="F3" s="8">
        <f>Inputs!$C$10*(1+Inputs!$C$11)^A3</f>
        <v/>
      </c>
      <c r="G3" s="8">
        <f>G2*(1-Inputs!$C$13)+F3</f>
        <v/>
      </c>
      <c r="H3" s="3">
        <f>E3*Inputs!$C$9+G3*Inputs!$C$12</f>
        <v/>
      </c>
      <c r="I3" s="3">
        <f>H3*12</f>
        <v/>
      </c>
      <c r="J3">
        <f>IF(I3&gt;=Inputs!$C$2,"YES","")</f>
        <v/>
      </c>
    </row>
    <row r="4">
      <c r="A4" t="n">
        <v>2</v>
      </c>
      <c r="B4" s="2">
        <f>EDATE(DATE(2026,11,1),A4)</f>
        <v/>
      </c>
      <c r="C4" s="4">
        <f>Inputs!$C$3*(1+Inputs!$C$4)^A4</f>
        <v/>
      </c>
      <c r="D4" s="8">
        <f>C4*Inputs!$C$5*Inputs!$C$6*Inputs!$C$7</f>
        <v/>
      </c>
      <c r="E4" s="4">
        <f>E3*(1-Inputs!$C$8)+D4</f>
        <v/>
      </c>
      <c r="F4" s="8">
        <f>Inputs!$C$10*(1+Inputs!$C$11)^A4</f>
        <v/>
      </c>
      <c r="G4" s="8">
        <f>G3*(1-Inputs!$C$13)+F4</f>
        <v/>
      </c>
      <c r="H4" s="3">
        <f>E4*Inputs!$C$9+G4*Inputs!$C$12</f>
        <v/>
      </c>
      <c r="I4" s="3">
        <f>H4*12</f>
        <v/>
      </c>
      <c r="J4">
        <f>IF(I4&gt;=Inputs!$C$2,"YES","")</f>
        <v/>
      </c>
    </row>
    <row r="5">
      <c r="A5" t="n">
        <v>3</v>
      </c>
      <c r="B5" s="2">
        <f>EDATE(DATE(2026,11,1),A5)</f>
        <v/>
      </c>
      <c r="C5" s="4">
        <f>Inputs!$C$3*(1+Inputs!$C$4)^A5</f>
        <v/>
      </c>
      <c r="D5" s="8">
        <f>C5*Inputs!$C$5*Inputs!$C$6*Inputs!$C$7</f>
        <v/>
      </c>
      <c r="E5" s="4">
        <f>E4*(1-Inputs!$C$8)+D5</f>
        <v/>
      </c>
      <c r="F5" s="8">
        <f>Inputs!$C$10*(1+Inputs!$C$11)^A5</f>
        <v/>
      </c>
      <c r="G5" s="8">
        <f>G4*(1-Inputs!$C$13)+F5</f>
        <v/>
      </c>
      <c r="H5" s="3">
        <f>E5*Inputs!$C$9+G5*Inputs!$C$12</f>
        <v/>
      </c>
      <c r="I5" s="3">
        <f>H5*12</f>
        <v/>
      </c>
      <c r="J5">
        <f>IF(I5&gt;=Inputs!$C$2,"YES","")</f>
        <v/>
      </c>
    </row>
    <row r="6">
      <c r="A6" t="n">
        <v>4</v>
      </c>
      <c r="B6" s="2">
        <f>EDATE(DATE(2026,11,1),A6)</f>
        <v/>
      </c>
      <c r="C6" s="4">
        <f>Inputs!$C$3*(1+Inputs!$C$4)^A6</f>
        <v/>
      </c>
      <c r="D6" s="8">
        <f>C6*Inputs!$C$5*Inputs!$C$6*Inputs!$C$7</f>
        <v/>
      </c>
      <c r="E6" s="4">
        <f>E5*(1-Inputs!$C$8)+D6</f>
        <v/>
      </c>
      <c r="F6" s="8">
        <f>Inputs!$C$10*(1+Inputs!$C$11)^A6</f>
        <v/>
      </c>
      <c r="G6" s="8">
        <f>G5*(1-Inputs!$C$13)+F6</f>
        <v/>
      </c>
      <c r="H6" s="3">
        <f>E6*Inputs!$C$9+G6*Inputs!$C$12</f>
        <v/>
      </c>
      <c r="I6" s="3">
        <f>H6*12</f>
        <v/>
      </c>
      <c r="J6">
        <f>IF(I6&gt;=Inputs!$C$2,"YES","")</f>
        <v/>
      </c>
    </row>
    <row r="7">
      <c r="A7" t="n">
        <v>5</v>
      </c>
      <c r="B7" s="2">
        <f>EDATE(DATE(2026,11,1),A7)</f>
        <v/>
      </c>
      <c r="C7" s="4">
        <f>Inputs!$C$3*(1+Inputs!$C$4)^A7</f>
        <v/>
      </c>
      <c r="D7" s="8">
        <f>C7*Inputs!$C$5*Inputs!$C$6*Inputs!$C$7</f>
        <v/>
      </c>
      <c r="E7" s="4">
        <f>E6*(1-Inputs!$C$8)+D7</f>
        <v/>
      </c>
      <c r="F7" s="8">
        <f>Inputs!$C$10*(1+Inputs!$C$11)^A7</f>
        <v/>
      </c>
      <c r="G7" s="8">
        <f>G6*(1-Inputs!$C$13)+F7</f>
        <v/>
      </c>
      <c r="H7" s="3">
        <f>E7*Inputs!$C$9+G7*Inputs!$C$12</f>
        <v/>
      </c>
      <c r="I7" s="3">
        <f>H7*12</f>
        <v/>
      </c>
      <c r="J7">
        <f>IF(I7&gt;=Inputs!$C$2,"YES","")</f>
        <v/>
      </c>
    </row>
    <row r="8">
      <c r="A8" t="n">
        <v>6</v>
      </c>
      <c r="B8" s="2">
        <f>EDATE(DATE(2026,11,1),A8)</f>
        <v/>
      </c>
      <c r="C8" s="4">
        <f>Inputs!$C$3*(1+Inputs!$C$4)^A8</f>
        <v/>
      </c>
      <c r="D8" s="8">
        <f>C8*Inputs!$C$5*Inputs!$C$6*Inputs!$C$7</f>
        <v/>
      </c>
      <c r="E8" s="4">
        <f>E7*(1-Inputs!$C$8)+D8</f>
        <v/>
      </c>
      <c r="F8" s="8">
        <f>Inputs!$C$10*(1+Inputs!$C$11)^A8</f>
        <v/>
      </c>
      <c r="G8" s="8">
        <f>G7*(1-Inputs!$C$13)+F8</f>
        <v/>
      </c>
      <c r="H8" s="3">
        <f>E8*Inputs!$C$9+G8*Inputs!$C$12</f>
        <v/>
      </c>
      <c r="I8" s="3">
        <f>H8*12</f>
        <v/>
      </c>
      <c r="J8">
        <f>IF(I8&gt;=Inputs!$C$2,"YES","")</f>
        <v/>
      </c>
    </row>
    <row r="9">
      <c r="A9" t="n">
        <v>7</v>
      </c>
      <c r="B9" s="2">
        <f>EDATE(DATE(2026,11,1),A9)</f>
        <v/>
      </c>
      <c r="C9" s="4">
        <f>Inputs!$C$3*(1+Inputs!$C$4)^A9</f>
        <v/>
      </c>
      <c r="D9" s="8">
        <f>C9*Inputs!$C$5*Inputs!$C$6*Inputs!$C$7</f>
        <v/>
      </c>
      <c r="E9" s="4">
        <f>E8*(1-Inputs!$C$8)+D9</f>
        <v/>
      </c>
      <c r="F9" s="8">
        <f>Inputs!$C$10*(1+Inputs!$C$11)^A9</f>
        <v/>
      </c>
      <c r="G9" s="8">
        <f>G8*(1-Inputs!$C$13)+F9</f>
        <v/>
      </c>
      <c r="H9" s="3">
        <f>E9*Inputs!$C$9+G9*Inputs!$C$12</f>
        <v/>
      </c>
      <c r="I9" s="3">
        <f>H9*12</f>
        <v/>
      </c>
      <c r="J9">
        <f>IF(I9&gt;=Inputs!$C$2,"YES","")</f>
        <v/>
      </c>
    </row>
    <row r="10">
      <c r="A10" t="n">
        <v>8</v>
      </c>
      <c r="B10" s="2">
        <f>EDATE(DATE(2026,11,1),A10)</f>
        <v/>
      </c>
      <c r="C10" s="4">
        <f>Inputs!$C$3*(1+Inputs!$C$4)^A10</f>
        <v/>
      </c>
      <c r="D10" s="8">
        <f>C10*Inputs!$C$5*Inputs!$C$6*Inputs!$C$7</f>
        <v/>
      </c>
      <c r="E10" s="4">
        <f>E9*(1-Inputs!$C$8)+D10</f>
        <v/>
      </c>
      <c r="F10" s="8">
        <f>Inputs!$C$10*(1+Inputs!$C$11)^A10</f>
        <v/>
      </c>
      <c r="G10" s="8">
        <f>G9*(1-Inputs!$C$13)+F10</f>
        <v/>
      </c>
      <c r="H10" s="3">
        <f>E10*Inputs!$C$9+G10*Inputs!$C$12</f>
        <v/>
      </c>
      <c r="I10" s="3">
        <f>H10*12</f>
        <v/>
      </c>
      <c r="J10">
        <f>IF(I10&gt;=Inputs!$C$2,"YES","")</f>
        <v/>
      </c>
    </row>
    <row r="11">
      <c r="A11" t="n">
        <v>9</v>
      </c>
      <c r="B11" s="2">
        <f>EDATE(DATE(2026,11,1),A11)</f>
        <v/>
      </c>
      <c r="C11" s="4">
        <f>Inputs!$C$3*(1+Inputs!$C$4)^A11</f>
        <v/>
      </c>
      <c r="D11" s="8">
        <f>C11*Inputs!$C$5*Inputs!$C$6*Inputs!$C$7</f>
        <v/>
      </c>
      <c r="E11" s="4">
        <f>E10*(1-Inputs!$C$8)+D11</f>
        <v/>
      </c>
      <c r="F11" s="8">
        <f>Inputs!$C$10*(1+Inputs!$C$11)^A11</f>
        <v/>
      </c>
      <c r="G11" s="8">
        <f>G10*(1-Inputs!$C$13)+F11</f>
        <v/>
      </c>
      <c r="H11" s="3">
        <f>E11*Inputs!$C$9+G11*Inputs!$C$12</f>
        <v/>
      </c>
      <c r="I11" s="3">
        <f>H11*12</f>
        <v/>
      </c>
      <c r="J11">
        <f>IF(I11&gt;=Inputs!$C$2,"YES","")</f>
        <v/>
      </c>
    </row>
    <row r="12">
      <c r="A12" t="n">
        <v>10</v>
      </c>
      <c r="B12" s="2">
        <f>EDATE(DATE(2026,11,1),A12)</f>
        <v/>
      </c>
      <c r="C12" s="4">
        <f>Inputs!$C$3*(1+Inputs!$C$4)^A12</f>
        <v/>
      </c>
      <c r="D12" s="8">
        <f>C12*Inputs!$C$5*Inputs!$C$6*Inputs!$C$7</f>
        <v/>
      </c>
      <c r="E12" s="4">
        <f>E11*(1-Inputs!$C$8)+D12</f>
        <v/>
      </c>
      <c r="F12" s="8">
        <f>Inputs!$C$10*(1+Inputs!$C$11)^A12</f>
        <v/>
      </c>
      <c r="G12" s="8">
        <f>G11*(1-Inputs!$C$13)+F12</f>
        <v/>
      </c>
      <c r="H12" s="3">
        <f>E12*Inputs!$C$9+G12*Inputs!$C$12</f>
        <v/>
      </c>
      <c r="I12" s="3">
        <f>H12*12</f>
        <v/>
      </c>
      <c r="J12">
        <f>IF(I12&gt;=Inputs!$C$2,"YES","")</f>
        <v/>
      </c>
    </row>
    <row r="13">
      <c r="A13" t="n">
        <v>11</v>
      </c>
      <c r="B13" s="2">
        <f>EDATE(DATE(2026,11,1),A13)</f>
        <v/>
      </c>
      <c r="C13" s="4">
        <f>Inputs!$C$3*(1+Inputs!$C$4)^A13</f>
        <v/>
      </c>
      <c r="D13" s="8">
        <f>C13*Inputs!$C$5*Inputs!$C$6*Inputs!$C$7</f>
        <v/>
      </c>
      <c r="E13" s="4">
        <f>E12*(1-Inputs!$C$8)+D13</f>
        <v/>
      </c>
      <c r="F13" s="8">
        <f>Inputs!$C$10*(1+Inputs!$C$11)^A13</f>
        <v/>
      </c>
      <c r="G13" s="8">
        <f>G12*(1-Inputs!$C$13)+F13</f>
        <v/>
      </c>
      <c r="H13" s="3">
        <f>E13*Inputs!$C$9+G13*Inputs!$C$12</f>
        <v/>
      </c>
      <c r="I13" s="3">
        <f>H13*12</f>
        <v/>
      </c>
      <c r="J13">
        <f>IF(I13&gt;=Inputs!$C$2,"YES","")</f>
        <v/>
      </c>
    </row>
    <row r="14">
      <c r="A14" t="n">
        <v>12</v>
      </c>
      <c r="B14" s="2">
        <f>EDATE(DATE(2026,11,1),A14)</f>
        <v/>
      </c>
      <c r="C14" s="4">
        <f>Inputs!$C$3*(1+Inputs!$C$4)^A14</f>
        <v/>
      </c>
      <c r="D14" s="8">
        <f>C14*Inputs!$C$5*Inputs!$C$6*Inputs!$C$7</f>
        <v/>
      </c>
      <c r="E14" s="4">
        <f>E13*(1-Inputs!$C$8)+D14</f>
        <v/>
      </c>
      <c r="F14" s="8">
        <f>Inputs!$C$10*(1+Inputs!$C$11)^A14</f>
        <v/>
      </c>
      <c r="G14" s="8">
        <f>G13*(1-Inputs!$C$13)+F14</f>
        <v/>
      </c>
      <c r="H14" s="3">
        <f>E14*Inputs!$C$9+G14*Inputs!$C$12</f>
        <v/>
      </c>
      <c r="I14" s="3">
        <f>H14*12</f>
        <v/>
      </c>
      <c r="J14">
        <f>IF(I14&gt;=Inputs!$C$2,"YES","")</f>
        <v/>
      </c>
    </row>
    <row r="15">
      <c r="A15" t="n">
        <v>13</v>
      </c>
      <c r="B15" s="2">
        <f>EDATE(DATE(2026,11,1),A15)</f>
        <v/>
      </c>
      <c r="C15" s="4">
        <f>Inputs!$C$3*(1+Inputs!$C$4)^A15</f>
        <v/>
      </c>
      <c r="D15" s="8">
        <f>C15*Inputs!$C$5*Inputs!$C$6*Inputs!$C$7</f>
        <v/>
      </c>
      <c r="E15" s="4">
        <f>E14*(1-Inputs!$C$8)+D15</f>
        <v/>
      </c>
      <c r="F15" s="8">
        <f>Inputs!$C$10*(1+Inputs!$C$11)^A15</f>
        <v/>
      </c>
      <c r="G15" s="8">
        <f>G14*(1-Inputs!$C$13)+F15</f>
        <v/>
      </c>
      <c r="H15" s="3">
        <f>E15*Inputs!$C$9+G15*Inputs!$C$12</f>
        <v/>
      </c>
      <c r="I15" s="3">
        <f>H15*12</f>
        <v/>
      </c>
      <c r="J15">
        <f>IF(I15&gt;=Inputs!$C$2,"YES","")</f>
        <v/>
      </c>
    </row>
    <row r="16">
      <c r="A16" t="n">
        <v>14</v>
      </c>
      <c r="B16" s="2">
        <f>EDATE(DATE(2026,11,1),A16)</f>
        <v/>
      </c>
      <c r="C16" s="4">
        <f>Inputs!$C$3*(1+Inputs!$C$4)^A16</f>
        <v/>
      </c>
      <c r="D16" s="8">
        <f>C16*Inputs!$C$5*Inputs!$C$6*Inputs!$C$7</f>
        <v/>
      </c>
      <c r="E16" s="4">
        <f>E15*(1-Inputs!$C$8)+D16</f>
        <v/>
      </c>
      <c r="F16" s="8">
        <f>Inputs!$C$10*(1+Inputs!$C$11)^A16</f>
        <v/>
      </c>
      <c r="G16" s="8">
        <f>G15*(1-Inputs!$C$13)+F16</f>
        <v/>
      </c>
      <c r="H16" s="3">
        <f>E16*Inputs!$C$9+G16*Inputs!$C$12</f>
        <v/>
      </c>
      <c r="I16" s="3">
        <f>H16*12</f>
        <v/>
      </c>
      <c r="J16">
        <f>IF(I16&gt;=Inputs!$C$2,"YES","")</f>
        <v/>
      </c>
    </row>
    <row r="17">
      <c r="A17" t="n">
        <v>15</v>
      </c>
      <c r="B17" s="2">
        <f>EDATE(DATE(2026,11,1),A17)</f>
        <v/>
      </c>
      <c r="C17" s="4">
        <f>Inputs!$C$3*(1+Inputs!$C$4)^A17</f>
        <v/>
      </c>
      <c r="D17" s="8">
        <f>C17*Inputs!$C$5*Inputs!$C$6*Inputs!$C$7</f>
        <v/>
      </c>
      <c r="E17" s="4">
        <f>E16*(1-Inputs!$C$8)+D17</f>
        <v/>
      </c>
      <c r="F17" s="8">
        <f>Inputs!$C$10*(1+Inputs!$C$11)^A17</f>
        <v/>
      </c>
      <c r="G17" s="8">
        <f>G16*(1-Inputs!$C$13)+F17</f>
        <v/>
      </c>
      <c r="H17" s="3">
        <f>E17*Inputs!$C$9+G17*Inputs!$C$12</f>
        <v/>
      </c>
      <c r="I17" s="3">
        <f>H17*12</f>
        <v/>
      </c>
      <c r="J17">
        <f>IF(I17&gt;=Inputs!$C$2,"YES","")</f>
        <v/>
      </c>
    </row>
    <row r="18">
      <c r="A18" t="n">
        <v>16</v>
      </c>
      <c r="B18" s="2">
        <f>EDATE(DATE(2026,11,1),A18)</f>
        <v/>
      </c>
      <c r="C18" s="4">
        <f>Inputs!$C$3*(1+Inputs!$C$4)^A18</f>
        <v/>
      </c>
      <c r="D18" s="8">
        <f>C18*Inputs!$C$5*Inputs!$C$6*Inputs!$C$7</f>
        <v/>
      </c>
      <c r="E18" s="4">
        <f>E17*(1-Inputs!$C$8)+D18</f>
        <v/>
      </c>
      <c r="F18" s="8">
        <f>Inputs!$C$10*(1+Inputs!$C$11)^A18</f>
        <v/>
      </c>
      <c r="G18" s="8">
        <f>G17*(1-Inputs!$C$13)+F18</f>
        <v/>
      </c>
      <c r="H18" s="3">
        <f>E18*Inputs!$C$9+G18*Inputs!$C$12</f>
        <v/>
      </c>
      <c r="I18" s="3">
        <f>H18*12</f>
        <v/>
      </c>
      <c r="J18">
        <f>IF(I18&gt;=Inputs!$C$2,"YES","")</f>
        <v/>
      </c>
    </row>
    <row r="19">
      <c r="A19" t="n">
        <v>17</v>
      </c>
      <c r="B19" s="2">
        <f>EDATE(DATE(2026,11,1),A19)</f>
        <v/>
      </c>
      <c r="C19" s="4">
        <f>Inputs!$C$3*(1+Inputs!$C$4)^A19</f>
        <v/>
      </c>
      <c r="D19" s="8">
        <f>C19*Inputs!$C$5*Inputs!$C$6*Inputs!$C$7</f>
        <v/>
      </c>
      <c r="E19" s="4">
        <f>E18*(1-Inputs!$C$8)+D19</f>
        <v/>
      </c>
      <c r="F19" s="8">
        <f>Inputs!$C$10*(1+Inputs!$C$11)^A19</f>
        <v/>
      </c>
      <c r="G19" s="8">
        <f>G18*(1-Inputs!$C$13)+F19</f>
        <v/>
      </c>
      <c r="H19" s="3">
        <f>E19*Inputs!$C$9+G19*Inputs!$C$12</f>
        <v/>
      </c>
      <c r="I19" s="3">
        <f>H19*12</f>
        <v/>
      </c>
      <c r="J19">
        <f>IF(I19&gt;=Inputs!$C$2,"YES","")</f>
        <v/>
      </c>
    </row>
    <row r="20">
      <c r="A20" t="n">
        <v>18</v>
      </c>
      <c r="B20" s="2">
        <f>EDATE(DATE(2026,11,1),A20)</f>
        <v/>
      </c>
      <c r="C20" s="4">
        <f>Inputs!$C$3*(1+Inputs!$C$4)^A20</f>
        <v/>
      </c>
      <c r="D20" s="8">
        <f>C20*Inputs!$C$5*Inputs!$C$6*Inputs!$C$7</f>
        <v/>
      </c>
      <c r="E20" s="4">
        <f>E19*(1-Inputs!$C$8)+D20</f>
        <v/>
      </c>
      <c r="F20" s="8">
        <f>Inputs!$C$10*(1+Inputs!$C$11)^A20</f>
        <v/>
      </c>
      <c r="G20" s="8">
        <f>G19*(1-Inputs!$C$13)+F20</f>
        <v/>
      </c>
      <c r="H20" s="3">
        <f>E20*Inputs!$C$9+G20*Inputs!$C$12</f>
        <v/>
      </c>
      <c r="I20" s="3">
        <f>H20*12</f>
        <v/>
      </c>
      <c r="J20">
        <f>IF(I20&gt;=Inputs!$C$2,"YES","")</f>
        <v/>
      </c>
    </row>
    <row r="21">
      <c r="A21" t="n">
        <v>19</v>
      </c>
      <c r="B21" s="2">
        <f>EDATE(DATE(2026,11,1),A21)</f>
        <v/>
      </c>
      <c r="C21" s="4">
        <f>Inputs!$C$3*(1+Inputs!$C$4)^A21</f>
        <v/>
      </c>
      <c r="D21" s="8">
        <f>C21*Inputs!$C$5*Inputs!$C$6*Inputs!$C$7</f>
        <v/>
      </c>
      <c r="E21" s="4">
        <f>E20*(1-Inputs!$C$8)+D21</f>
        <v/>
      </c>
      <c r="F21" s="8">
        <f>Inputs!$C$10*(1+Inputs!$C$11)^A21</f>
        <v/>
      </c>
      <c r="G21" s="8">
        <f>G20*(1-Inputs!$C$13)+F21</f>
        <v/>
      </c>
      <c r="H21" s="3">
        <f>E21*Inputs!$C$9+G21*Inputs!$C$12</f>
        <v/>
      </c>
      <c r="I21" s="3">
        <f>H21*12</f>
        <v/>
      </c>
      <c r="J21">
        <f>IF(I21&gt;=Inputs!$C$2,"YES","")</f>
        <v/>
      </c>
    </row>
    <row r="22">
      <c r="A22" t="n">
        <v>20</v>
      </c>
      <c r="B22" s="2">
        <f>EDATE(DATE(2026,11,1),A22)</f>
        <v/>
      </c>
      <c r="C22" s="4">
        <f>Inputs!$C$3*(1+Inputs!$C$4)^A22</f>
        <v/>
      </c>
      <c r="D22" s="8">
        <f>C22*Inputs!$C$5*Inputs!$C$6*Inputs!$C$7</f>
        <v/>
      </c>
      <c r="E22" s="4">
        <f>E21*(1-Inputs!$C$8)+D22</f>
        <v/>
      </c>
      <c r="F22" s="8">
        <f>Inputs!$C$10*(1+Inputs!$C$11)^A22</f>
        <v/>
      </c>
      <c r="G22" s="8">
        <f>G21*(1-Inputs!$C$13)+F22</f>
        <v/>
      </c>
      <c r="H22" s="3">
        <f>E22*Inputs!$C$9+G22*Inputs!$C$12</f>
        <v/>
      </c>
      <c r="I22" s="3">
        <f>H22*12</f>
        <v/>
      </c>
      <c r="J22">
        <f>IF(I22&gt;=Inputs!$C$2,"YES","")</f>
        <v/>
      </c>
    </row>
    <row r="23">
      <c r="A23" t="n">
        <v>21</v>
      </c>
      <c r="B23" s="2">
        <f>EDATE(DATE(2026,11,1),A23)</f>
        <v/>
      </c>
      <c r="C23" s="4">
        <f>Inputs!$C$3*(1+Inputs!$C$4)^A23</f>
        <v/>
      </c>
      <c r="D23" s="8">
        <f>C23*Inputs!$C$5*Inputs!$C$6*Inputs!$C$7</f>
        <v/>
      </c>
      <c r="E23" s="4">
        <f>E22*(1-Inputs!$C$8)+D23</f>
        <v/>
      </c>
      <c r="F23" s="8">
        <f>Inputs!$C$10*(1+Inputs!$C$11)^A23</f>
        <v/>
      </c>
      <c r="G23" s="8">
        <f>G22*(1-Inputs!$C$13)+F23</f>
        <v/>
      </c>
      <c r="H23" s="3">
        <f>E23*Inputs!$C$9+G23*Inputs!$C$12</f>
        <v/>
      </c>
      <c r="I23" s="3">
        <f>H23*12</f>
        <v/>
      </c>
      <c r="J23">
        <f>IF(I23&gt;=Inputs!$C$2,"YES","")</f>
        <v/>
      </c>
    </row>
    <row r="24">
      <c r="A24" t="n">
        <v>22</v>
      </c>
      <c r="B24" s="2">
        <f>EDATE(DATE(2026,11,1),A24)</f>
        <v/>
      </c>
      <c r="C24" s="4">
        <f>Inputs!$C$3*(1+Inputs!$C$4)^A24</f>
        <v/>
      </c>
      <c r="D24" s="8">
        <f>C24*Inputs!$C$5*Inputs!$C$6*Inputs!$C$7</f>
        <v/>
      </c>
      <c r="E24" s="4">
        <f>E23*(1-Inputs!$C$8)+D24</f>
        <v/>
      </c>
      <c r="F24" s="8">
        <f>Inputs!$C$10*(1+Inputs!$C$11)^A24</f>
        <v/>
      </c>
      <c r="G24" s="8">
        <f>G23*(1-Inputs!$C$13)+F24</f>
        <v/>
      </c>
      <c r="H24" s="3">
        <f>E24*Inputs!$C$9+G24*Inputs!$C$12</f>
        <v/>
      </c>
      <c r="I24" s="3">
        <f>H24*12</f>
        <v/>
      </c>
      <c r="J24">
        <f>IF(I24&gt;=Inputs!$C$2,"YES","")</f>
        <v/>
      </c>
    </row>
    <row r="25">
      <c r="A25" t="n">
        <v>23</v>
      </c>
      <c r="B25" s="2">
        <f>EDATE(DATE(2026,11,1),A25)</f>
        <v/>
      </c>
      <c r="C25" s="4">
        <f>Inputs!$C$3*(1+Inputs!$C$4)^A25</f>
        <v/>
      </c>
      <c r="D25" s="8">
        <f>C25*Inputs!$C$5*Inputs!$C$6*Inputs!$C$7</f>
        <v/>
      </c>
      <c r="E25" s="4">
        <f>E24*(1-Inputs!$C$8)+D25</f>
        <v/>
      </c>
      <c r="F25" s="8">
        <f>Inputs!$C$10*(1+Inputs!$C$11)^A25</f>
        <v/>
      </c>
      <c r="G25" s="8">
        <f>G24*(1-Inputs!$C$13)+F25</f>
        <v/>
      </c>
      <c r="H25" s="3">
        <f>E25*Inputs!$C$9+G25*Inputs!$C$12</f>
        <v/>
      </c>
      <c r="I25" s="3">
        <f>H25*12</f>
        <v/>
      </c>
      <c r="J25">
        <f>IF(I25&gt;=Inputs!$C$2,"YES","")</f>
        <v/>
      </c>
    </row>
    <row r="26">
      <c r="A26" t="n">
        <v>24</v>
      </c>
      <c r="B26" s="2">
        <f>EDATE(DATE(2026,11,1),A26)</f>
        <v/>
      </c>
      <c r="C26" s="4">
        <f>Inputs!$C$3*(1+Inputs!$C$4)^A26</f>
        <v/>
      </c>
      <c r="D26" s="8">
        <f>C26*Inputs!$C$5*Inputs!$C$6*Inputs!$C$7</f>
        <v/>
      </c>
      <c r="E26" s="4">
        <f>E25*(1-Inputs!$C$8)+D26</f>
        <v/>
      </c>
      <c r="F26" s="8">
        <f>Inputs!$C$10*(1+Inputs!$C$11)^A26</f>
        <v/>
      </c>
      <c r="G26" s="8">
        <f>G25*(1-Inputs!$C$13)+F26</f>
        <v/>
      </c>
      <c r="H26" s="3">
        <f>E26*Inputs!$C$9+G26*Inputs!$C$12</f>
        <v/>
      </c>
      <c r="I26" s="3">
        <f>H26*12</f>
        <v/>
      </c>
      <c r="J26">
        <f>IF(I26&gt;=Inputs!$C$2,"YES","")</f>
        <v/>
      </c>
    </row>
    <row r="27">
      <c r="A27" t="n">
        <v>25</v>
      </c>
      <c r="B27" s="2">
        <f>EDATE(DATE(2026,11,1),A27)</f>
        <v/>
      </c>
      <c r="C27" s="4">
        <f>Inputs!$C$3*(1+Inputs!$C$4)^A27</f>
        <v/>
      </c>
      <c r="D27" s="8">
        <f>C27*Inputs!$C$5*Inputs!$C$6*Inputs!$C$7</f>
        <v/>
      </c>
      <c r="E27" s="4">
        <f>E26*(1-Inputs!$C$8)+D27</f>
        <v/>
      </c>
      <c r="F27" s="8">
        <f>Inputs!$C$10*(1+Inputs!$C$11)^A27</f>
        <v/>
      </c>
      <c r="G27" s="8">
        <f>G26*(1-Inputs!$C$13)+F27</f>
        <v/>
      </c>
      <c r="H27" s="3">
        <f>E27*Inputs!$C$9+G27*Inputs!$C$12</f>
        <v/>
      </c>
      <c r="I27" s="3">
        <f>H27*12</f>
        <v/>
      </c>
      <c r="J27">
        <f>IF(I27&gt;=Inputs!$C$2,"YES","")</f>
        <v/>
      </c>
    </row>
    <row r="28">
      <c r="A28" t="n">
        <v>26</v>
      </c>
      <c r="B28" s="2">
        <f>EDATE(DATE(2026,11,1),A28)</f>
        <v/>
      </c>
      <c r="C28" s="4">
        <f>Inputs!$C$3*(1+Inputs!$C$4)^A28</f>
        <v/>
      </c>
      <c r="D28" s="8">
        <f>C28*Inputs!$C$5*Inputs!$C$6*Inputs!$C$7</f>
        <v/>
      </c>
      <c r="E28" s="4">
        <f>E27*(1-Inputs!$C$8)+D28</f>
        <v/>
      </c>
      <c r="F28" s="8">
        <f>Inputs!$C$10*(1+Inputs!$C$11)^A28</f>
        <v/>
      </c>
      <c r="G28" s="8">
        <f>G27*(1-Inputs!$C$13)+F28</f>
        <v/>
      </c>
      <c r="H28" s="3">
        <f>E28*Inputs!$C$9+G28*Inputs!$C$12</f>
        <v/>
      </c>
      <c r="I28" s="3">
        <f>H28*12</f>
        <v/>
      </c>
      <c r="J28">
        <f>IF(I28&gt;=Inputs!$C$2,"YES","")</f>
        <v/>
      </c>
    </row>
    <row r="29">
      <c r="A29" t="n">
        <v>27</v>
      </c>
      <c r="B29" s="2">
        <f>EDATE(DATE(2026,11,1),A29)</f>
        <v/>
      </c>
      <c r="C29" s="4">
        <f>Inputs!$C$3*(1+Inputs!$C$4)^A29</f>
        <v/>
      </c>
      <c r="D29" s="8">
        <f>C29*Inputs!$C$5*Inputs!$C$6*Inputs!$C$7</f>
        <v/>
      </c>
      <c r="E29" s="4">
        <f>E28*(1-Inputs!$C$8)+D29</f>
        <v/>
      </c>
      <c r="F29" s="8">
        <f>Inputs!$C$10*(1+Inputs!$C$11)^A29</f>
        <v/>
      </c>
      <c r="G29" s="8">
        <f>G28*(1-Inputs!$C$13)+F29</f>
        <v/>
      </c>
      <c r="H29" s="3">
        <f>E29*Inputs!$C$9+G29*Inputs!$C$12</f>
        <v/>
      </c>
      <c r="I29" s="3">
        <f>H29*12</f>
        <v/>
      </c>
      <c r="J29">
        <f>IF(I29&gt;=Inputs!$C$2,"YES","")</f>
        <v/>
      </c>
    </row>
    <row r="30">
      <c r="A30" t="n">
        <v>28</v>
      </c>
      <c r="B30" s="2">
        <f>EDATE(DATE(2026,11,1),A30)</f>
        <v/>
      </c>
      <c r="C30" s="4">
        <f>Inputs!$C$3*(1+Inputs!$C$4)^A30</f>
        <v/>
      </c>
      <c r="D30" s="8">
        <f>C30*Inputs!$C$5*Inputs!$C$6*Inputs!$C$7</f>
        <v/>
      </c>
      <c r="E30" s="4">
        <f>E29*(1-Inputs!$C$8)+D30</f>
        <v/>
      </c>
      <c r="F30" s="8">
        <f>Inputs!$C$10*(1+Inputs!$C$11)^A30</f>
        <v/>
      </c>
      <c r="G30" s="8">
        <f>G29*(1-Inputs!$C$13)+F30</f>
        <v/>
      </c>
      <c r="H30" s="3">
        <f>E30*Inputs!$C$9+G30*Inputs!$C$12</f>
        <v/>
      </c>
      <c r="I30" s="3">
        <f>H30*12</f>
        <v/>
      </c>
      <c r="J30">
        <f>IF(I30&gt;=Inputs!$C$2,"YES","")</f>
        <v/>
      </c>
    </row>
    <row r="31">
      <c r="A31" t="n">
        <v>29</v>
      </c>
      <c r="B31" s="2">
        <f>EDATE(DATE(2026,11,1),A31)</f>
        <v/>
      </c>
      <c r="C31" s="4">
        <f>Inputs!$C$3*(1+Inputs!$C$4)^A31</f>
        <v/>
      </c>
      <c r="D31" s="8">
        <f>C31*Inputs!$C$5*Inputs!$C$6*Inputs!$C$7</f>
        <v/>
      </c>
      <c r="E31" s="4">
        <f>E30*(1-Inputs!$C$8)+D31</f>
        <v/>
      </c>
      <c r="F31" s="8">
        <f>Inputs!$C$10*(1+Inputs!$C$11)^A31</f>
        <v/>
      </c>
      <c r="G31" s="8">
        <f>G30*(1-Inputs!$C$13)+F31</f>
        <v/>
      </c>
      <c r="H31" s="3">
        <f>E31*Inputs!$C$9+G31*Inputs!$C$12</f>
        <v/>
      </c>
      <c r="I31" s="3">
        <f>H31*12</f>
        <v/>
      </c>
      <c r="J31">
        <f>IF(I31&gt;=Inputs!$C$2,"YES","")</f>
        <v/>
      </c>
    </row>
    <row r="32">
      <c r="A32" t="n">
        <v>30</v>
      </c>
      <c r="B32" s="2">
        <f>EDATE(DATE(2026,11,1),A32)</f>
        <v/>
      </c>
      <c r="C32" s="4">
        <f>Inputs!$C$3*(1+Inputs!$C$4)^A32</f>
        <v/>
      </c>
      <c r="D32" s="8">
        <f>C32*Inputs!$C$5*Inputs!$C$6*Inputs!$C$7</f>
        <v/>
      </c>
      <c r="E32" s="4">
        <f>E31*(1-Inputs!$C$8)+D32</f>
        <v/>
      </c>
      <c r="F32" s="8">
        <f>Inputs!$C$10*(1+Inputs!$C$11)^A32</f>
        <v/>
      </c>
      <c r="G32" s="8">
        <f>G31*(1-Inputs!$C$13)+F32</f>
        <v/>
      </c>
      <c r="H32" s="3">
        <f>E32*Inputs!$C$9+G32*Inputs!$C$12</f>
        <v/>
      </c>
      <c r="I32" s="3">
        <f>H32*12</f>
        <v/>
      </c>
      <c r="J32">
        <f>IF(I32&gt;=Inputs!$C$2,"YES","")</f>
        <v/>
      </c>
    </row>
    <row r="33">
      <c r="A33" t="n">
        <v>31</v>
      </c>
      <c r="B33" s="2">
        <f>EDATE(DATE(2026,11,1),A33)</f>
        <v/>
      </c>
      <c r="C33" s="4">
        <f>Inputs!$C$3*(1+Inputs!$C$4)^A33</f>
        <v/>
      </c>
      <c r="D33" s="8">
        <f>C33*Inputs!$C$5*Inputs!$C$6*Inputs!$C$7</f>
        <v/>
      </c>
      <c r="E33" s="4">
        <f>E32*(1-Inputs!$C$8)+D33</f>
        <v/>
      </c>
      <c r="F33" s="8">
        <f>Inputs!$C$10*(1+Inputs!$C$11)^A33</f>
        <v/>
      </c>
      <c r="G33" s="8">
        <f>G32*(1-Inputs!$C$13)+F33</f>
        <v/>
      </c>
      <c r="H33" s="3">
        <f>E33*Inputs!$C$9+G33*Inputs!$C$12</f>
        <v/>
      </c>
      <c r="I33" s="3">
        <f>H33*12</f>
        <v/>
      </c>
      <c r="J33">
        <f>IF(I33&gt;=Inputs!$C$2,"YES","")</f>
        <v/>
      </c>
    </row>
    <row r="34">
      <c r="A34" t="n">
        <v>32</v>
      </c>
      <c r="B34" s="2">
        <f>EDATE(DATE(2026,11,1),A34)</f>
        <v/>
      </c>
      <c r="C34" s="4">
        <f>Inputs!$C$3*(1+Inputs!$C$4)^A34</f>
        <v/>
      </c>
      <c r="D34" s="8">
        <f>C34*Inputs!$C$5*Inputs!$C$6*Inputs!$C$7</f>
        <v/>
      </c>
      <c r="E34" s="4">
        <f>E33*(1-Inputs!$C$8)+D34</f>
        <v/>
      </c>
      <c r="F34" s="8">
        <f>Inputs!$C$10*(1+Inputs!$C$11)^A34</f>
        <v/>
      </c>
      <c r="G34" s="8">
        <f>G33*(1-Inputs!$C$13)+F34</f>
        <v/>
      </c>
      <c r="H34" s="3">
        <f>E34*Inputs!$C$9+G34*Inputs!$C$12</f>
        <v/>
      </c>
      <c r="I34" s="3">
        <f>H34*12</f>
        <v/>
      </c>
      <c r="J34">
        <f>IF(I34&gt;=Inputs!$C$2,"YES","")</f>
        <v/>
      </c>
    </row>
    <row r="35">
      <c r="A35" t="n">
        <v>33</v>
      </c>
      <c r="B35" s="2">
        <f>EDATE(DATE(2026,11,1),A35)</f>
        <v/>
      </c>
      <c r="C35" s="4">
        <f>Inputs!$C$3*(1+Inputs!$C$4)^A35</f>
        <v/>
      </c>
      <c r="D35" s="8">
        <f>C35*Inputs!$C$5*Inputs!$C$6*Inputs!$C$7</f>
        <v/>
      </c>
      <c r="E35" s="4">
        <f>E34*(1-Inputs!$C$8)+D35</f>
        <v/>
      </c>
      <c r="F35" s="8">
        <f>Inputs!$C$10*(1+Inputs!$C$11)^A35</f>
        <v/>
      </c>
      <c r="G35" s="8">
        <f>G34*(1-Inputs!$C$13)+F35</f>
        <v/>
      </c>
      <c r="H35" s="3">
        <f>E35*Inputs!$C$9+G35*Inputs!$C$12</f>
        <v/>
      </c>
      <c r="I35" s="3">
        <f>H35*12</f>
        <v/>
      </c>
      <c r="J35">
        <f>IF(I35&gt;=Inputs!$C$2,"YES","")</f>
        <v/>
      </c>
    </row>
    <row r="36">
      <c r="A36" t="n">
        <v>34</v>
      </c>
      <c r="B36" s="2">
        <f>EDATE(DATE(2026,11,1),A36)</f>
        <v/>
      </c>
      <c r="C36" s="4">
        <f>Inputs!$C$3*(1+Inputs!$C$4)^A36</f>
        <v/>
      </c>
      <c r="D36" s="8">
        <f>C36*Inputs!$C$5*Inputs!$C$6*Inputs!$C$7</f>
        <v/>
      </c>
      <c r="E36" s="4">
        <f>E35*(1-Inputs!$C$8)+D36</f>
        <v/>
      </c>
      <c r="F36" s="8">
        <f>Inputs!$C$10*(1+Inputs!$C$11)^A36</f>
        <v/>
      </c>
      <c r="G36" s="8">
        <f>G35*(1-Inputs!$C$13)+F36</f>
        <v/>
      </c>
      <c r="H36" s="3">
        <f>E36*Inputs!$C$9+G36*Inputs!$C$12</f>
        <v/>
      </c>
      <c r="I36" s="3">
        <f>H36*12</f>
        <v/>
      </c>
      <c r="J36">
        <f>IF(I36&gt;=Inputs!$C$2,"YES","")</f>
        <v/>
      </c>
    </row>
    <row r="37">
      <c r="A37" t="n">
        <v>35</v>
      </c>
      <c r="B37" s="2">
        <f>EDATE(DATE(2026,11,1),A37)</f>
        <v/>
      </c>
      <c r="C37" s="4">
        <f>Inputs!$C$3*(1+Inputs!$C$4)^A37</f>
        <v/>
      </c>
      <c r="D37" s="8">
        <f>C37*Inputs!$C$5*Inputs!$C$6*Inputs!$C$7</f>
        <v/>
      </c>
      <c r="E37" s="4">
        <f>E36*(1-Inputs!$C$8)+D37</f>
        <v/>
      </c>
      <c r="F37" s="8">
        <f>Inputs!$C$10*(1+Inputs!$C$11)^A37</f>
        <v/>
      </c>
      <c r="G37" s="8">
        <f>G36*(1-Inputs!$C$13)+F37</f>
        <v/>
      </c>
      <c r="H37" s="3">
        <f>E37*Inputs!$C$9+G37*Inputs!$C$12</f>
        <v/>
      </c>
      <c r="I37" s="3">
        <f>H37*12</f>
        <v/>
      </c>
      <c r="J37">
        <f>IF(I37&gt;=Inputs!$C$2,"YES","")</f>
        <v/>
      </c>
    </row>
    <row r="38">
      <c r="A38" t="n">
        <v>36</v>
      </c>
      <c r="B38" s="2">
        <f>EDATE(DATE(2026,11,1),A38)</f>
        <v/>
      </c>
      <c r="C38" s="4">
        <f>Inputs!$C$3*(1+Inputs!$C$4)^A38</f>
        <v/>
      </c>
      <c r="D38" s="8">
        <f>C38*Inputs!$C$5*Inputs!$C$6*Inputs!$C$7</f>
        <v/>
      </c>
      <c r="E38" s="4">
        <f>E37*(1-Inputs!$C$8)+D38</f>
        <v/>
      </c>
      <c r="F38" s="8">
        <f>Inputs!$C$10*(1+Inputs!$C$11)^A38</f>
        <v/>
      </c>
      <c r="G38" s="8">
        <f>G37*(1-Inputs!$C$13)+F38</f>
        <v/>
      </c>
      <c r="H38" s="3">
        <f>E38*Inputs!$C$9+G38*Inputs!$C$12</f>
        <v/>
      </c>
      <c r="I38" s="3">
        <f>H38*12</f>
        <v/>
      </c>
      <c r="J38">
        <f>IF(I38&gt;=Inputs!$C$2,"YES","")</f>
        <v/>
      </c>
    </row>
    <row r="39">
      <c r="A39" t="n">
        <v>37</v>
      </c>
      <c r="B39" s="2">
        <f>EDATE(DATE(2026,11,1),A39)</f>
        <v/>
      </c>
      <c r="C39" s="4">
        <f>Inputs!$C$3*(1+Inputs!$C$4)^A39</f>
        <v/>
      </c>
      <c r="D39" s="8">
        <f>C39*Inputs!$C$5*Inputs!$C$6*Inputs!$C$7</f>
        <v/>
      </c>
      <c r="E39" s="4">
        <f>E38*(1-Inputs!$C$8)+D39</f>
        <v/>
      </c>
      <c r="F39" s="8">
        <f>Inputs!$C$10*(1+Inputs!$C$11)^A39</f>
        <v/>
      </c>
      <c r="G39" s="8">
        <f>G38*(1-Inputs!$C$13)+F39</f>
        <v/>
      </c>
      <c r="H39" s="3">
        <f>E39*Inputs!$C$9+G39*Inputs!$C$12</f>
        <v/>
      </c>
      <c r="I39" s="3">
        <f>H39*12</f>
        <v/>
      </c>
      <c r="J39">
        <f>IF(I39&gt;=Inputs!$C$2,"YES","")</f>
        <v/>
      </c>
    </row>
    <row r="40">
      <c r="A40" t="n">
        <v>38</v>
      </c>
      <c r="B40" s="2">
        <f>EDATE(DATE(2026,11,1),A40)</f>
        <v/>
      </c>
      <c r="C40" s="4">
        <f>Inputs!$C$3*(1+Inputs!$C$4)^A40</f>
        <v/>
      </c>
      <c r="D40" s="8">
        <f>C40*Inputs!$C$5*Inputs!$C$6*Inputs!$C$7</f>
        <v/>
      </c>
      <c r="E40" s="4">
        <f>E39*(1-Inputs!$C$8)+D40</f>
        <v/>
      </c>
      <c r="F40" s="8">
        <f>Inputs!$C$10*(1+Inputs!$C$11)^A40</f>
        <v/>
      </c>
      <c r="G40" s="8">
        <f>G39*(1-Inputs!$C$13)+F40</f>
        <v/>
      </c>
      <c r="H40" s="3">
        <f>E40*Inputs!$C$9+G40*Inputs!$C$12</f>
        <v/>
      </c>
      <c r="I40" s="3">
        <f>H40*12</f>
        <v/>
      </c>
      <c r="J40">
        <f>IF(I40&gt;=Inputs!$C$2,"YES","")</f>
        <v/>
      </c>
    </row>
    <row r="41">
      <c r="A41" t="n">
        <v>39</v>
      </c>
      <c r="B41" s="2">
        <f>EDATE(DATE(2026,11,1),A41)</f>
        <v/>
      </c>
      <c r="C41" s="4">
        <f>Inputs!$C$3*(1+Inputs!$C$4)^A41</f>
        <v/>
      </c>
      <c r="D41" s="8">
        <f>C41*Inputs!$C$5*Inputs!$C$6*Inputs!$C$7</f>
        <v/>
      </c>
      <c r="E41" s="4">
        <f>E40*(1-Inputs!$C$8)+D41</f>
        <v/>
      </c>
      <c r="F41" s="8">
        <f>Inputs!$C$10*(1+Inputs!$C$11)^A41</f>
        <v/>
      </c>
      <c r="G41" s="8">
        <f>G40*(1-Inputs!$C$13)+F41</f>
        <v/>
      </c>
      <c r="H41" s="3">
        <f>E41*Inputs!$C$9+G41*Inputs!$C$12</f>
        <v/>
      </c>
      <c r="I41" s="3">
        <f>H41*12</f>
        <v/>
      </c>
      <c r="J41">
        <f>IF(I41&gt;=Inputs!$C$2,"YES","")</f>
        <v/>
      </c>
    </row>
    <row r="42">
      <c r="A42" t="n">
        <v>40</v>
      </c>
      <c r="B42" s="2">
        <f>EDATE(DATE(2026,11,1),A42)</f>
        <v/>
      </c>
      <c r="C42" s="4">
        <f>Inputs!$C$3*(1+Inputs!$C$4)^A42</f>
        <v/>
      </c>
      <c r="D42" s="8">
        <f>C42*Inputs!$C$5*Inputs!$C$6*Inputs!$C$7</f>
        <v/>
      </c>
      <c r="E42" s="4">
        <f>E41*(1-Inputs!$C$8)+D42</f>
        <v/>
      </c>
      <c r="F42" s="8">
        <f>Inputs!$C$10*(1+Inputs!$C$11)^A42</f>
        <v/>
      </c>
      <c r="G42" s="8">
        <f>G41*(1-Inputs!$C$13)+F42</f>
        <v/>
      </c>
      <c r="H42" s="3">
        <f>E42*Inputs!$C$9+G42*Inputs!$C$12</f>
        <v/>
      </c>
      <c r="I42" s="3">
        <f>H42*12</f>
        <v/>
      </c>
      <c r="J42">
        <f>IF(I42&gt;=Inputs!$C$2,"YES","")</f>
        <v/>
      </c>
    </row>
    <row r="43">
      <c r="A43" t="n">
        <v>41</v>
      </c>
      <c r="B43" s="2">
        <f>EDATE(DATE(2026,11,1),A43)</f>
        <v/>
      </c>
      <c r="C43" s="4">
        <f>Inputs!$C$3*(1+Inputs!$C$4)^A43</f>
        <v/>
      </c>
      <c r="D43" s="8">
        <f>C43*Inputs!$C$5*Inputs!$C$6*Inputs!$C$7</f>
        <v/>
      </c>
      <c r="E43" s="4">
        <f>E42*(1-Inputs!$C$8)+D43</f>
        <v/>
      </c>
      <c r="F43" s="8">
        <f>Inputs!$C$10*(1+Inputs!$C$11)^A43</f>
        <v/>
      </c>
      <c r="G43" s="8">
        <f>G42*(1-Inputs!$C$13)+F43</f>
        <v/>
      </c>
      <c r="H43" s="3">
        <f>E43*Inputs!$C$9+G43*Inputs!$C$12</f>
        <v/>
      </c>
      <c r="I43" s="3">
        <f>H43*12</f>
        <v/>
      </c>
      <c r="J43">
        <f>IF(I43&gt;=Inputs!$C$2,"YES","")</f>
        <v/>
      </c>
    </row>
    <row r="44">
      <c r="A44" t="n">
        <v>42</v>
      </c>
      <c r="B44" s="2">
        <f>EDATE(DATE(2026,11,1),A44)</f>
        <v/>
      </c>
      <c r="C44" s="4">
        <f>Inputs!$C$3*(1+Inputs!$C$4)^A44</f>
        <v/>
      </c>
      <c r="D44" s="8">
        <f>C44*Inputs!$C$5*Inputs!$C$6*Inputs!$C$7</f>
        <v/>
      </c>
      <c r="E44" s="4">
        <f>E43*(1-Inputs!$C$8)+D44</f>
        <v/>
      </c>
      <c r="F44" s="8">
        <f>Inputs!$C$10*(1+Inputs!$C$11)^A44</f>
        <v/>
      </c>
      <c r="G44" s="8">
        <f>G43*(1-Inputs!$C$13)+F44</f>
        <v/>
      </c>
      <c r="H44" s="3">
        <f>E44*Inputs!$C$9+G44*Inputs!$C$12</f>
        <v/>
      </c>
      <c r="I44" s="3">
        <f>H44*12</f>
        <v/>
      </c>
      <c r="J44">
        <f>IF(I44&gt;=Inputs!$C$2,"YES","")</f>
        <v/>
      </c>
    </row>
    <row r="45">
      <c r="A45" t="n">
        <v>43</v>
      </c>
      <c r="B45" s="2">
        <f>EDATE(DATE(2026,11,1),A45)</f>
        <v/>
      </c>
      <c r="C45" s="4">
        <f>Inputs!$C$3*(1+Inputs!$C$4)^A45</f>
        <v/>
      </c>
      <c r="D45" s="8">
        <f>C45*Inputs!$C$5*Inputs!$C$6*Inputs!$C$7</f>
        <v/>
      </c>
      <c r="E45" s="4">
        <f>E44*(1-Inputs!$C$8)+D45</f>
        <v/>
      </c>
      <c r="F45" s="8">
        <f>Inputs!$C$10*(1+Inputs!$C$11)^A45</f>
        <v/>
      </c>
      <c r="G45" s="8">
        <f>G44*(1-Inputs!$C$13)+F45</f>
        <v/>
      </c>
      <c r="H45" s="3">
        <f>E45*Inputs!$C$9+G45*Inputs!$C$12</f>
        <v/>
      </c>
      <c r="I45" s="3">
        <f>H45*12</f>
        <v/>
      </c>
      <c r="J45">
        <f>IF(I45&gt;=Inputs!$C$2,"YES","")</f>
        <v/>
      </c>
    </row>
    <row r="46">
      <c r="A46" t="n">
        <v>44</v>
      </c>
      <c r="B46" s="2">
        <f>EDATE(DATE(2026,11,1),A46)</f>
        <v/>
      </c>
      <c r="C46" s="4">
        <f>Inputs!$C$3*(1+Inputs!$C$4)^A46</f>
        <v/>
      </c>
      <c r="D46" s="8">
        <f>C46*Inputs!$C$5*Inputs!$C$6*Inputs!$C$7</f>
        <v/>
      </c>
      <c r="E46" s="4">
        <f>E45*(1-Inputs!$C$8)+D46</f>
        <v/>
      </c>
      <c r="F46" s="8">
        <f>Inputs!$C$10*(1+Inputs!$C$11)^A46</f>
        <v/>
      </c>
      <c r="G46" s="8">
        <f>G45*(1-Inputs!$C$13)+F46</f>
        <v/>
      </c>
      <c r="H46" s="3">
        <f>E46*Inputs!$C$9+G46*Inputs!$C$12</f>
        <v/>
      </c>
      <c r="I46" s="3">
        <f>H46*12</f>
        <v/>
      </c>
      <c r="J46">
        <f>IF(I46&gt;=Inputs!$C$2,"YES","")</f>
        <v/>
      </c>
    </row>
    <row r="47">
      <c r="A47" t="n">
        <v>45</v>
      </c>
      <c r="B47" s="2">
        <f>EDATE(DATE(2026,11,1),A47)</f>
        <v/>
      </c>
      <c r="C47" s="4">
        <f>Inputs!$C$3*(1+Inputs!$C$4)^A47</f>
        <v/>
      </c>
      <c r="D47" s="8">
        <f>C47*Inputs!$C$5*Inputs!$C$6*Inputs!$C$7</f>
        <v/>
      </c>
      <c r="E47" s="4">
        <f>E46*(1-Inputs!$C$8)+D47</f>
        <v/>
      </c>
      <c r="F47" s="8">
        <f>Inputs!$C$10*(1+Inputs!$C$11)^A47</f>
        <v/>
      </c>
      <c r="G47" s="8">
        <f>G46*(1-Inputs!$C$13)+F47</f>
        <v/>
      </c>
      <c r="H47" s="3">
        <f>E47*Inputs!$C$9+G47*Inputs!$C$12</f>
        <v/>
      </c>
      <c r="I47" s="3">
        <f>H47*12</f>
        <v/>
      </c>
      <c r="J47">
        <f>IF(I47&gt;=Inputs!$C$2,"YES","")</f>
        <v/>
      </c>
    </row>
    <row r="48">
      <c r="A48" t="n">
        <v>46</v>
      </c>
      <c r="B48" s="2">
        <f>EDATE(DATE(2026,11,1),A48)</f>
        <v/>
      </c>
      <c r="C48" s="4">
        <f>Inputs!$C$3*(1+Inputs!$C$4)^A48</f>
        <v/>
      </c>
      <c r="D48" s="8">
        <f>C48*Inputs!$C$5*Inputs!$C$6*Inputs!$C$7</f>
        <v/>
      </c>
      <c r="E48" s="4">
        <f>E47*(1-Inputs!$C$8)+D48</f>
        <v/>
      </c>
      <c r="F48" s="8">
        <f>Inputs!$C$10*(1+Inputs!$C$11)^A48</f>
        <v/>
      </c>
      <c r="G48" s="8">
        <f>G47*(1-Inputs!$C$13)+F48</f>
        <v/>
      </c>
      <c r="H48" s="3">
        <f>E48*Inputs!$C$9+G48*Inputs!$C$12</f>
        <v/>
      </c>
      <c r="I48" s="3">
        <f>H48*12</f>
        <v/>
      </c>
      <c r="J48">
        <f>IF(I48&gt;=Inputs!$C$2,"YES","")</f>
        <v/>
      </c>
    </row>
    <row r="49">
      <c r="A49" t="n">
        <v>47</v>
      </c>
      <c r="B49" s="2">
        <f>EDATE(DATE(2026,11,1),A49)</f>
        <v/>
      </c>
      <c r="C49" s="4">
        <f>Inputs!$C$3*(1+Inputs!$C$4)^A49</f>
        <v/>
      </c>
      <c r="D49" s="8">
        <f>C49*Inputs!$C$5*Inputs!$C$6*Inputs!$C$7</f>
        <v/>
      </c>
      <c r="E49" s="4">
        <f>E48*(1-Inputs!$C$8)+D49</f>
        <v/>
      </c>
      <c r="F49" s="8">
        <f>Inputs!$C$10*(1+Inputs!$C$11)^A49</f>
        <v/>
      </c>
      <c r="G49" s="8">
        <f>G48*(1-Inputs!$C$13)+F49</f>
        <v/>
      </c>
      <c r="H49" s="3">
        <f>E49*Inputs!$C$9+G49*Inputs!$C$12</f>
        <v/>
      </c>
      <c r="I49" s="3">
        <f>H49*12</f>
        <v/>
      </c>
      <c r="J49">
        <f>IF(I49&gt;=Inputs!$C$2,"YES","")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13" customWidth="1" min="5" max="5"/>
    <col width="9" customWidth="1" min="6" max="6"/>
    <col width="12" customWidth="1" min="7" max="7"/>
    <col width="12" customWidth="1" min="8" max="8"/>
    <col width="13" customWidth="1" min="9" max="9"/>
    <col width="9" customWidth="1" min="10" max="10"/>
  </cols>
  <sheetData>
    <row r="1">
      <c r="A1" s="1" t="inlineStr">
        <is>
          <t>Month #</t>
        </is>
      </c>
      <c r="B1" s="1" t="inlineStr">
        <is>
          <t>Month</t>
        </is>
      </c>
      <c r="C1" s="1" t="inlineStr">
        <is>
          <t>New handles</t>
        </is>
      </c>
      <c r="D1" s="1" t="inlineStr">
        <is>
          <t>New paying creators</t>
        </is>
      </c>
      <c r="E1" s="1" t="inlineStr">
        <is>
          <t>Paying creators</t>
        </is>
      </c>
      <c r="F1" s="1" t="inlineStr">
        <is>
          <t>New B2B</t>
        </is>
      </c>
      <c r="G1" s="1" t="inlineStr">
        <is>
          <t>B2B accounts</t>
        </is>
      </c>
      <c r="H1" s="1" t="inlineStr">
        <is>
          <t>MRR</t>
        </is>
      </c>
      <c r="I1" s="1" t="inlineStr">
        <is>
          <t>ARR</t>
        </is>
      </c>
      <c r="J1" s="1" t="inlineStr">
        <is>
          <t>Hit $1M?</t>
        </is>
      </c>
    </row>
    <row r="2">
      <c r="A2" t="n">
        <v>0</v>
      </c>
      <c r="B2" s="2">
        <f>EDATE(DATE(2026,11,1),A2)</f>
        <v/>
      </c>
      <c r="C2" s="4">
        <f>Inputs!$D$3*(1+Inputs!$D$4)^A2</f>
        <v/>
      </c>
      <c r="D2" s="8">
        <f>C2*Inputs!$D$5*Inputs!$D$6*Inputs!$D$7</f>
        <v/>
      </c>
      <c r="E2" s="4">
        <f>0*(1-Inputs!$D$8)+D2</f>
        <v/>
      </c>
      <c r="F2" s="8">
        <f>Inputs!$D$10*(1+Inputs!$D$11)^A2</f>
        <v/>
      </c>
      <c r="G2" s="8">
        <f>0*(1-Inputs!$D$13)+F2</f>
        <v/>
      </c>
      <c r="H2" s="3">
        <f>E2*Inputs!$D$9+G2*Inputs!$D$12</f>
        <v/>
      </c>
      <c r="I2" s="3">
        <f>H2*12</f>
        <v/>
      </c>
      <c r="J2">
        <f>IF(I2&gt;=Inputs!$D$2,"YES","")</f>
        <v/>
      </c>
    </row>
    <row r="3">
      <c r="A3" t="n">
        <v>1</v>
      </c>
      <c r="B3" s="2">
        <f>EDATE(DATE(2026,11,1),A3)</f>
        <v/>
      </c>
      <c r="C3" s="4">
        <f>Inputs!$D$3*(1+Inputs!$D$4)^A3</f>
        <v/>
      </c>
      <c r="D3" s="8">
        <f>C3*Inputs!$D$5*Inputs!$D$6*Inputs!$D$7</f>
        <v/>
      </c>
      <c r="E3" s="4">
        <f>E2*(1-Inputs!$D$8)+D3</f>
        <v/>
      </c>
      <c r="F3" s="8">
        <f>Inputs!$D$10*(1+Inputs!$D$11)^A3</f>
        <v/>
      </c>
      <c r="G3" s="8">
        <f>G2*(1-Inputs!$D$13)+F3</f>
        <v/>
      </c>
      <c r="H3" s="3">
        <f>E3*Inputs!$D$9+G3*Inputs!$D$12</f>
        <v/>
      </c>
      <c r="I3" s="3">
        <f>H3*12</f>
        <v/>
      </c>
      <c r="J3">
        <f>IF(I3&gt;=Inputs!$D$2,"YES","")</f>
        <v/>
      </c>
    </row>
    <row r="4">
      <c r="A4" t="n">
        <v>2</v>
      </c>
      <c r="B4" s="2">
        <f>EDATE(DATE(2026,11,1),A4)</f>
        <v/>
      </c>
      <c r="C4" s="4">
        <f>Inputs!$D$3*(1+Inputs!$D$4)^A4</f>
        <v/>
      </c>
      <c r="D4" s="8">
        <f>C4*Inputs!$D$5*Inputs!$D$6*Inputs!$D$7</f>
        <v/>
      </c>
      <c r="E4" s="4">
        <f>E3*(1-Inputs!$D$8)+D4</f>
        <v/>
      </c>
      <c r="F4" s="8">
        <f>Inputs!$D$10*(1+Inputs!$D$11)^A4</f>
        <v/>
      </c>
      <c r="G4" s="8">
        <f>G3*(1-Inputs!$D$13)+F4</f>
        <v/>
      </c>
      <c r="H4" s="3">
        <f>E4*Inputs!$D$9+G4*Inputs!$D$12</f>
        <v/>
      </c>
      <c r="I4" s="3">
        <f>H4*12</f>
        <v/>
      </c>
      <c r="J4">
        <f>IF(I4&gt;=Inputs!$D$2,"YES","")</f>
        <v/>
      </c>
    </row>
    <row r="5">
      <c r="A5" t="n">
        <v>3</v>
      </c>
      <c r="B5" s="2">
        <f>EDATE(DATE(2026,11,1),A5)</f>
        <v/>
      </c>
      <c r="C5" s="4">
        <f>Inputs!$D$3*(1+Inputs!$D$4)^A5</f>
        <v/>
      </c>
      <c r="D5" s="8">
        <f>C5*Inputs!$D$5*Inputs!$D$6*Inputs!$D$7</f>
        <v/>
      </c>
      <c r="E5" s="4">
        <f>E4*(1-Inputs!$D$8)+D5</f>
        <v/>
      </c>
      <c r="F5" s="8">
        <f>Inputs!$D$10*(1+Inputs!$D$11)^A5</f>
        <v/>
      </c>
      <c r="G5" s="8">
        <f>G4*(1-Inputs!$D$13)+F5</f>
        <v/>
      </c>
      <c r="H5" s="3">
        <f>E5*Inputs!$D$9+G5*Inputs!$D$12</f>
        <v/>
      </c>
      <c r="I5" s="3">
        <f>H5*12</f>
        <v/>
      </c>
      <c r="J5">
        <f>IF(I5&gt;=Inputs!$D$2,"YES","")</f>
        <v/>
      </c>
    </row>
    <row r="6">
      <c r="A6" t="n">
        <v>4</v>
      </c>
      <c r="B6" s="2">
        <f>EDATE(DATE(2026,11,1),A6)</f>
        <v/>
      </c>
      <c r="C6" s="4">
        <f>Inputs!$D$3*(1+Inputs!$D$4)^A6</f>
        <v/>
      </c>
      <c r="D6" s="8">
        <f>C6*Inputs!$D$5*Inputs!$D$6*Inputs!$D$7</f>
        <v/>
      </c>
      <c r="E6" s="4">
        <f>E5*(1-Inputs!$D$8)+D6</f>
        <v/>
      </c>
      <c r="F6" s="8">
        <f>Inputs!$D$10*(1+Inputs!$D$11)^A6</f>
        <v/>
      </c>
      <c r="G6" s="8">
        <f>G5*(1-Inputs!$D$13)+F6</f>
        <v/>
      </c>
      <c r="H6" s="3">
        <f>E6*Inputs!$D$9+G6*Inputs!$D$12</f>
        <v/>
      </c>
      <c r="I6" s="3">
        <f>H6*12</f>
        <v/>
      </c>
      <c r="J6">
        <f>IF(I6&gt;=Inputs!$D$2,"YES","")</f>
        <v/>
      </c>
    </row>
    <row r="7">
      <c r="A7" t="n">
        <v>5</v>
      </c>
      <c r="B7" s="2">
        <f>EDATE(DATE(2026,11,1),A7)</f>
        <v/>
      </c>
      <c r="C7" s="4">
        <f>Inputs!$D$3*(1+Inputs!$D$4)^A7</f>
        <v/>
      </c>
      <c r="D7" s="8">
        <f>C7*Inputs!$D$5*Inputs!$D$6*Inputs!$D$7</f>
        <v/>
      </c>
      <c r="E7" s="4">
        <f>E6*(1-Inputs!$D$8)+D7</f>
        <v/>
      </c>
      <c r="F7" s="8">
        <f>Inputs!$D$10*(1+Inputs!$D$11)^A7</f>
        <v/>
      </c>
      <c r="G7" s="8">
        <f>G6*(1-Inputs!$D$13)+F7</f>
        <v/>
      </c>
      <c r="H7" s="3">
        <f>E7*Inputs!$D$9+G7*Inputs!$D$12</f>
        <v/>
      </c>
      <c r="I7" s="3">
        <f>H7*12</f>
        <v/>
      </c>
      <c r="J7">
        <f>IF(I7&gt;=Inputs!$D$2,"YES","")</f>
        <v/>
      </c>
    </row>
    <row r="8">
      <c r="A8" t="n">
        <v>6</v>
      </c>
      <c r="B8" s="2">
        <f>EDATE(DATE(2026,11,1),A8)</f>
        <v/>
      </c>
      <c r="C8" s="4">
        <f>Inputs!$D$3*(1+Inputs!$D$4)^A8</f>
        <v/>
      </c>
      <c r="D8" s="8">
        <f>C8*Inputs!$D$5*Inputs!$D$6*Inputs!$D$7</f>
        <v/>
      </c>
      <c r="E8" s="4">
        <f>E7*(1-Inputs!$D$8)+D8</f>
        <v/>
      </c>
      <c r="F8" s="8">
        <f>Inputs!$D$10*(1+Inputs!$D$11)^A8</f>
        <v/>
      </c>
      <c r="G8" s="8">
        <f>G7*(1-Inputs!$D$13)+F8</f>
        <v/>
      </c>
      <c r="H8" s="3">
        <f>E8*Inputs!$D$9+G8*Inputs!$D$12</f>
        <v/>
      </c>
      <c r="I8" s="3">
        <f>H8*12</f>
        <v/>
      </c>
      <c r="J8">
        <f>IF(I8&gt;=Inputs!$D$2,"YES","")</f>
        <v/>
      </c>
    </row>
    <row r="9">
      <c r="A9" t="n">
        <v>7</v>
      </c>
      <c r="B9" s="2">
        <f>EDATE(DATE(2026,11,1),A9)</f>
        <v/>
      </c>
      <c r="C9" s="4">
        <f>Inputs!$D$3*(1+Inputs!$D$4)^A9</f>
        <v/>
      </c>
      <c r="D9" s="8">
        <f>C9*Inputs!$D$5*Inputs!$D$6*Inputs!$D$7</f>
        <v/>
      </c>
      <c r="E9" s="4">
        <f>E8*(1-Inputs!$D$8)+D9</f>
        <v/>
      </c>
      <c r="F9" s="8">
        <f>Inputs!$D$10*(1+Inputs!$D$11)^A9</f>
        <v/>
      </c>
      <c r="G9" s="8">
        <f>G8*(1-Inputs!$D$13)+F9</f>
        <v/>
      </c>
      <c r="H9" s="3">
        <f>E9*Inputs!$D$9+G9*Inputs!$D$12</f>
        <v/>
      </c>
      <c r="I9" s="3">
        <f>H9*12</f>
        <v/>
      </c>
      <c r="J9">
        <f>IF(I9&gt;=Inputs!$D$2,"YES","")</f>
        <v/>
      </c>
    </row>
    <row r="10">
      <c r="A10" t="n">
        <v>8</v>
      </c>
      <c r="B10" s="2">
        <f>EDATE(DATE(2026,11,1),A10)</f>
        <v/>
      </c>
      <c r="C10" s="4">
        <f>Inputs!$D$3*(1+Inputs!$D$4)^A10</f>
        <v/>
      </c>
      <c r="D10" s="8">
        <f>C10*Inputs!$D$5*Inputs!$D$6*Inputs!$D$7</f>
        <v/>
      </c>
      <c r="E10" s="4">
        <f>E9*(1-Inputs!$D$8)+D10</f>
        <v/>
      </c>
      <c r="F10" s="8">
        <f>Inputs!$D$10*(1+Inputs!$D$11)^A10</f>
        <v/>
      </c>
      <c r="G10" s="8">
        <f>G9*(1-Inputs!$D$13)+F10</f>
        <v/>
      </c>
      <c r="H10" s="3">
        <f>E10*Inputs!$D$9+G10*Inputs!$D$12</f>
        <v/>
      </c>
      <c r="I10" s="3">
        <f>H10*12</f>
        <v/>
      </c>
      <c r="J10">
        <f>IF(I10&gt;=Inputs!$D$2,"YES","")</f>
        <v/>
      </c>
    </row>
    <row r="11">
      <c r="A11" t="n">
        <v>9</v>
      </c>
      <c r="B11" s="2">
        <f>EDATE(DATE(2026,11,1),A11)</f>
        <v/>
      </c>
      <c r="C11" s="4">
        <f>Inputs!$D$3*(1+Inputs!$D$4)^A11</f>
        <v/>
      </c>
      <c r="D11" s="8">
        <f>C11*Inputs!$D$5*Inputs!$D$6*Inputs!$D$7</f>
        <v/>
      </c>
      <c r="E11" s="4">
        <f>E10*(1-Inputs!$D$8)+D11</f>
        <v/>
      </c>
      <c r="F11" s="8">
        <f>Inputs!$D$10*(1+Inputs!$D$11)^A11</f>
        <v/>
      </c>
      <c r="G11" s="8">
        <f>G10*(1-Inputs!$D$13)+F11</f>
        <v/>
      </c>
      <c r="H11" s="3">
        <f>E11*Inputs!$D$9+G11*Inputs!$D$12</f>
        <v/>
      </c>
      <c r="I11" s="3">
        <f>H11*12</f>
        <v/>
      </c>
      <c r="J11">
        <f>IF(I11&gt;=Inputs!$D$2,"YES","")</f>
        <v/>
      </c>
    </row>
    <row r="12">
      <c r="A12" t="n">
        <v>10</v>
      </c>
      <c r="B12" s="2">
        <f>EDATE(DATE(2026,11,1),A12)</f>
        <v/>
      </c>
      <c r="C12" s="4">
        <f>Inputs!$D$3*(1+Inputs!$D$4)^A12</f>
        <v/>
      </c>
      <c r="D12" s="8">
        <f>C12*Inputs!$D$5*Inputs!$D$6*Inputs!$D$7</f>
        <v/>
      </c>
      <c r="E12" s="4">
        <f>E11*(1-Inputs!$D$8)+D12</f>
        <v/>
      </c>
      <c r="F12" s="8">
        <f>Inputs!$D$10*(1+Inputs!$D$11)^A12</f>
        <v/>
      </c>
      <c r="G12" s="8">
        <f>G11*(1-Inputs!$D$13)+F12</f>
        <v/>
      </c>
      <c r="H12" s="3">
        <f>E12*Inputs!$D$9+G12*Inputs!$D$12</f>
        <v/>
      </c>
      <c r="I12" s="3">
        <f>H12*12</f>
        <v/>
      </c>
      <c r="J12">
        <f>IF(I12&gt;=Inputs!$D$2,"YES","")</f>
        <v/>
      </c>
    </row>
    <row r="13">
      <c r="A13" t="n">
        <v>11</v>
      </c>
      <c r="B13" s="2">
        <f>EDATE(DATE(2026,11,1),A13)</f>
        <v/>
      </c>
      <c r="C13" s="4">
        <f>Inputs!$D$3*(1+Inputs!$D$4)^A13</f>
        <v/>
      </c>
      <c r="D13" s="8">
        <f>C13*Inputs!$D$5*Inputs!$D$6*Inputs!$D$7</f>
        <v/>
      </c>
      <c r="E13" s="4">
        <f>E12*(1-Inputs!$D$8)+D13</f>
        <v/>
      </c>
      <c r="F13" s="8">
        <f>Inputs!$D$10*(1+Inputs!$D$11)^A13</f>
        <v/>
      </c>
      <c r="G13" s="8">
        <f>G12*(1-Inputs!$D$13)+F13</f>
        <v/>
      </c>
      <c r="H13" s="3">
        <f>E13*Inputs!$D$9+G13*Inputs!$D$12</f>
        <v/>
      </c>
      <c r="I13" s="3">
        <f>H13*12</f>
        <v/>
      </c>
      <c r="J13">
        <f>IF(I13&gt;=Inputs!$D$2,"YES","")</f>
        <v/>
      </c>
    </row>
    <row r="14">
      <c r="A14" t="n">
        <v>12</v>
      </c>
      <c r="B14" s="2">
        <f>EDATE(DATE(2026,11,1),A14)</f>
        <v/>
      </c>
      <c r="C14" s="4">
        <f>Inputs!$D$3*(1+Inputs!$D$4)^A14</f>
        <v/>
      </c>
      <c r="D14" s="8">
        <f>C14*Inputs!$D$5*Inputs!$D$6*Inputs!$D$7</f>
        <v/>
      </c>
      <c r="E14" s="4">
        <f>E13*(1-Inputs!$D$8)+D14</f>
        <v/>
      </c>
      <c r="F14" s="8">
        <f>Inputs!$D$10*(1+Inputs!$D$11)^A14</f>
        <v/>
      </c>
      <c r="G14" s="8">
        <f>G13*(1-Inputs!$D$13)+F14</f>
        <v/>
      </c>
      <c r="H14" s="3">
        <f>E14*Inputs!$D$9+G14*Inputs!$D$12</f>
        <v/>
      </c>
      <c r="I14" s="3">
        <f>H14*12</f>
        <v/>
      </c>
      <c r="J14">
        <f>IF(I14&gt;=Inputs!$D$2,"YES","")</f>
        <v/>
      </c>
    </row>
    <row r="15">
      <c r="A15" t="n">
        <v>13</v>
      </c>
      <c r="B15" s="2">
        <f>EDATE(DATE(2026,11,1),A15)</f>
        <v/>
      </c>
      <c r="C15" s="4">
        <f>Inputs!$D$3*(1+Inputs!$D$4)^A15</f>
        <v/>
      </c>
      <c r="D15" s="8">
        <f>C15*Inputs!$D$5*Inputs!$D$6*Inputs!$D$7</f>
        <v/>
      </c>
      <c r="E15" s="4">
        <f>E14*(1-Inputs!$D$8)+D15</f>
        <v/>
      </c>
      <c r="F15" s="8">
        <f>Inputs!$D$10*(1+Inputs!$D$11)^A15</f>
        <v/>
      </c>
      <c r="G15" s="8">
        <f>G14*(1-Inputs!$D$13)+F15</f>
        <v/>
      </c>
      <c r="H15" s="3">
        <f>E15*Inputs!$D$9+G15*Inputs!$D$12</f>
        <v/>
      </c>
      <c r="I15" s="3">
        <f>H15*12</f>
        <v/>
      </c>
      <c r="J15">
        <f>IF(I15&gt;=Inputs!$D$2,"YES","")</f>
        <v/>
      </c>
    </row>
    <row r="16">
      <c r="A16" t="n">
        <v>14</v>
      </c>
      <c r="B16" s="2">
        <f>EDATE(DATE(2026,11,1),A16)</f>
        <v/>
      </c>
      <c r="C16" s="4">
        <f>Inputs!$D$3*(1+Inputs!$D$4)^A16</f>
        <v/>
      </c>
      <c r="D16" s="8">
        <f>C16*Inputs!$D$5*Inputs!$D$6*Inputs!$D$7</f>
        <v/>
      </c>
      <c r="E16" s="4">
        <f>E15*(1-Inputs!$D$8)+D16</f>
        <v/>
      </c>
      <c r="F16" s="8">
        <f>Inputs!$D$10*(1+Inputs!$D$11)^A16</f>
        <v/>
      </c>
      <c r="G16" s="8">
        <f>G15*(1-Inputs!$D$13)+F16</f>
        <v/>
      </c>
      <c r="H16" s="3">
        <f>E16*Inputs!$D$9+G16*Inputs!$D$12</f>
        <v/>
      </c>
      <c r="I16" s="3">
        <f>H16*12</f>
        <v/>
      </c>
      <c r="J16">
        <f>IF(I16&gt;=Inputs!$D$2,"YES","")</f>
        <v/>
      </c>
    </row>
    <row r="17">
      <c r="A17" t="n">
        <v>15</v>
      </c>
      <c r="B17" s="2">
        <f>EDATE(DATE(2026,11,1),A17)</f>
        <v/>
      </c>
      <c r="C17" s="4">
        <f>Inputs!$D$3*(1+Inputs!$D$4)^A17</f>
        <v/>
      </c>
      <c r="D17" s="8">
        <f>C17*Inputs!$D$5*Inputs!$D$6*Inputs!$D$7</f>
        <v/>
      </c>
      <c r="E17" s="4">
        <f>E16*(1-Inputs!$D$8)+D17</f>
        <v/>
      </c>
      <c r="F17" s="8">
        <f>Inputs!$D$10*(1+Inputs!$D$11)^A17</f>
        <v/>
      </c>
      <c r="G17" s="8">
        <f>G16*(1-Inputs!$D$13)+F17</f>
        <v/>
      </c>
      <c r="H17" s="3">
        <f>E17*Inputs!$D$9+G17*Inputs!$D$12</f>
        <v/>
      </c>
      <c r="I17" s="3">
        <f>H17*12</f>
        <v/>
      </c>
      <c r="J17">
        <f>IF(I17&gt;=Inputs!$D$2,"YES","")</f>
        <v/>
      </c>
    </row>
    <row r="18">
      <c r="A18" t="n">
        <v>16</v>
      </c>
      <c r="B18" s="2">
        <f>EDATE(DATE(2026,11,1),A18)</f>
        <v/>
      </c>
      <c r="C18" s="4">
        <f>Inputs!$D$3*(1+Inputs!$D$4)^A18</f>
        <v/>
      </c>
      <c r="D18" s="8">
        <f>C18*Inputs!$D$5*Inputs!$D$6*Inputs!$D$7</f>
        <v/>
      </c>
      <c r="E18" s="4">
        <f>E17*(1-Inputs!$D$8)+D18</f>
        <v/>
      </c>
      <c r="F18" s="8">
        <f>Inputs!$D$10*(1+Inputs!$D$11)^A18</f>
        <v/>
      </c>
      <c r="G18" s="8">
        <f>G17*(1-Inputs!$D$13)+F18</f>
        <v/>
      </c>
      <c r="H18" s="3">
        <f>E18*Inputs!$D$9+G18*Inputs!$D$12</f>
        <v/>
      </c>
      <c r="I18" s="3">
        <f>H18*12</f>
        <v/>
      </c>
      <c r="J18">
        <f>IF(I18&gt;=Inputs!$D$2,"YES","")</f>
        <v/>
      </c>
    </row>
    <row r="19">
      <c r="A19" t="n">
        <v>17</v>
      </c>
      <c r="B19" s="2">
        <f>EDATE(DATE(2026,11,1),A19)</f>
        <v/>
      </c>
      <c r="C19" s="4">
        <f>Inputs!$D$3*(1+Inputs!$D$4)^A19</f>
        <v/>
      </c>
      <c r="D19" s="8">
        <f>C19*Inputs!$D$5*Inputs!$D$6*Inputs!$D$7</f>
        <v/>
      </c>
      <c r="E19" s="4">
        <f>E18*(1-Inputs!$D$8)+D19</f>
        <v/>
      </c>
      <c r="F19" s="8">
        <f>Inputs!$D$10*(1+Inputs!$D$11)^A19</f>
        <v/>
      </c>
      <c r="G19" s="8">
        <f>G18*(1-Inputs!$D$13)+F19</f>
        <v/>
      </c>
      <c r="H19" s="3">
        <f>E19*Inputs!$D$9+G19*Inputs!$D$12</f>
        <v/>
      </c>
      <c r="I19" s="3">
        <f>H19*12</f>
        <v/>
      </c>
      <c r="J19">
        <f>IF(I19&gt;=Inputs!$D$2,"YES","")</f>
        <v/>
      </c>
    </row>
    <row r="20">
      <c r="A20" t="n">
        <v>18</v>
      </c>
      <c r="B20" s="2">
        <f>EDATE(DATE(2026,11,1),A20)</f>
        <v/>
      </c>
      <c r="C20" s="4">
        <f>Inputs!$D$3*(1+Inputs!$D$4)^A20</f>
        <v/>
      </c>
      <c r="D20" s="8">
        <f>C20*Inputs!$D$5*Inputs!$D$6*Inputs!$D$7</f>
        <v/>
      </c>
      <c r="E20" s="4">
        <f>E19*(1-Inputs!$D$8)+D20</f>
        <v/>
      </c>
      <c r="F20" s="8">
        <f>Inputs!$D$10*(1+Inputs!$D$11)^A20</f>
        <v/>
      </c>
      <c r="G20" s="8">
        <f>G19*(1-Inputs!$D$13)+F20</f>
        <v/>
      </c>
      <c r="H20" s="3">
        <f>E20*Inputs!$D$9+G20*Inputs!$D$12</f>
        <v/>
      </c>
      <c r="I20" s="3">
        <f>H20*12</f>
        <v/>
      </c>
      <c r="J20">
        <f>IF(I20&gt;=Inputs!$D$2,"YES","")</f>
        <v/>
      </c>
    </row>
    <row r="21">
      <c r="A21" t="n">
        <v>19</v>
      </c>
      <c r="B21" s="2">
        <f>EDATE(DATE(2026,11,1),A21)</f>
        <v/>
      </c>
      <c r="C21" s="4">
        <f>Inputs!$D$3*(1+Inputs!$D$4)^A21</f>
        <v/>
      </c>
      <c r="D21" s="8">
        <f>C21*Inputs!$D$5*Inputs!$D$6*Inputs!$D$7</f>
        <v/>
      </c>
      <c r="E21" s="4">
        <f>E20*(1-Inputs!$D$8)+D21</f>
        <v/>
      </c>
      <c r="F21" s="8">
        <f>Inputs!$D$10*(1+Inputs!$D$11)^A21</f>
        <v/>
      </c>
      <c r="G21" s="8">
        <f>G20*(1-Inputs!$D$13)+F21</f>
        <v/>
      </c>
      <c r="H21" s="3">
        <f>E21*Inputs!$D$9+G21*Inputs!$D$12</f>
        <v/>
      </c>
      <c r="I21" s="3">
        <f>H21*12</f>
        <v/>
      </c>
      <c r="J21">
        <f>IF(I21&gt;=Inputs!$D$2,"YES","")</f>
        <v/>
      </c>
    </row>
    <row r="22">
      <c r="A22" t="n">
        <v>20</v>
      </c>
      <c r="B22" s="2">
        <f>EDATE(DATE(2026,11,1),A22)</f>
        <v/>
      </c>
      <c r="C22" s="4">
        <f>Inputs!$D$3*(1+Inputs!$D$4)^A22</f>
        <v/>
      </c>
      <c r="D22" s="8">
        <f>C22*Inputs!$D$5*Inputs!$D$6*Inputs!$D$7</f>
        <v/>
      </c>
      <c r="E22" s="4">
        <f>E21*(1-Inputs!$D$8)+D22</f>
        <v/>
      </c>
      <c r="F22" s="8">
        <f>Inputs!$D$10*(1+Inputs!$D$11)^A22</f>
        <v/>
      </c>
      <c r="G22" s="8">
        <f>G21*(1-Inputs!$D$13)+F22</f>
        <v/>
      </c>
      <c r="H22" s="3">
        <f>E22*Inputs!$D$9+G22*Inputs!$D$12</f>
        <v/>
      </c>
      <c r="I22" s="3">
        <f>H22*12</f>
        <v/>
      </c>
      <c r="J22">
        <f>IF(I22&gt;=Inputs!$D$2,"YES","")</f>
        <v/>
      </c>
    </row>
    <row r="23">
      <c r="A23" t="n">
        <v>21</v>
      </c>
      <c r="B23" s="2">
        <f>EDATE(DATE(2026,11,1),A23)</f>
        <v/>
      </c>
      <c r="C23" s="4">
        <f>Inputs!$D$3*(1+Inputs!$D$4)^A23</f>
        <v/>
      </c>
      <c r="D23" s="8">
        <f>C23*Inputs!$D$5*Inputs!$D$6*Inputs!$D$7</f>
        <v/>
      </c>
      <c r="E23" s="4">
        <f>E22*(1-Inputs!$D$8)+D23</f>
        <v/>
      </c>
      <c r="F23" s="8">
        <f>Inputs!$D$10*(1+Inputs!$D$11)^A23</f>
        <v/>
      </c>
      <c r="G23" s="8">
        <f>G22*(1-Inputs!$D$13)+F23</f>
        <v/>
      </c>
      <c r="H23" s="3">
        <f>E23*Inputs!$D$9+G23*Inputs!$D$12</f>
        <v/>
      </c>
      <c r="I23" s="3">
        <f>H23*12</f>
        <v/>
      </c>
      <c r="J23">
        <f>IF(I23&gt;=Inputs!$D$2,"YES","")</f>
        <v/>
      </c>
    </row>
    <row r="24">
      <c r="A24" t="n">
        <v>22</v>
      </c>
      <c r="B24" s="2">
        <f>EDATE(DATE(2026,11,1),A24)</f>
        <v/>
      </c>
      <c r="C24" s="4">
        <f>Inputs!$D$3*(1+Inputs!$D$4)^A24</f>
        <v/>
      </c>
      <c r="D24" s="8">
        <f>C24*Inputs!$D$5*Inputs!$D$6*Inputs!$D$7</f>
        <v/>
      </c>
      <c r="E24" s="4">
        <f>E23*(1-Inputs!$D$8)+D24</f>
        <v/>
      </c>
      <c r="F24" s="8">
        <f>Inputs!$D$10*(1+Inputs!$D$11)^A24</f>
        <v/>
      </c>
      <c r="G24" s="8">
        <f>G23*(1-Inputs!$D$13)+F24</f>
        <v/>
      </c>
      <c r="H24" s="3">
        <f>E24*Inputs!$D$9+G24*Inputs!$D$12</f>
        <v/>
      </c>
      <c r="I24" s="3">
        <f>H24*12</f>
        <v/>
      </c>
      <c r="J24">
        <f>IF(I24&gt;=Inputs!$D$2,"YES","")</f>
        <v/>
      </c>
    </row>
    <row r="25">
      <c r="A25" t="n">
        <v>23</v>
      </c>
      <c r="B25" s="2">
        <f>EDATE(DATE(2026,11,1),A25)</f>
        <v/>
      </c>
      <c r="C25" s="4">
        <f>Inputs!$D$3*(1+Inputs!$D$4)^A25</f>
        <v/>
      </c>
      <c r="D25" s="8">
        <f>C25*Inputs!$D$5*Inputs!$D$6*Inputs!$D$7</f>
        <v/>
      </c>
      <c r="E25" s="4">
        <f>E24*(1-Inputs!$D$8)+D25</f>
        <v/>
      </c>
      <c r="F25" s="8">
        <f>Inputs!$D$10*(1+Inputs!$D$11)^A25</f>
        <v/>
      </c>
      <c r="G25" s="8">
        <f>G24*(1-Inputs!$D$13)+F25</f>
        <v/>
      </c>
      <c r="H25" s="3">
        <f>E25*Inputs!$D$9+G25*Inputs!$D$12</f>
        <v/>
      </c>
      <c r="I25" s="3">
        <f>H25*12</f>
        <v/>
      </c>
      <c r="J25">
        <f>IF(I25&gt;=Inputs!$D$2,"YES","")</f>
        <v/>
      </c>
    </row>
    <row r="26">
      <c r="A26" t="n">
        <v>24</v>
      </c>
      <c r="B26" s="2">
        <f>EDATE(DATE(2026,11,1),A26)</f>
        <v/>
      </c>
      <c r="C26" s="4">
        <f>Inputs!$D$3*(1+Inputs!$D$4)^A26</f>
        <v/>
      </c>
      <c r="D26" s="8">
        <f>C26*Inputs!$D$5*Inputs!$D$6*Inputs!$D$7</f>
        <v/>
      </c>
      <c r="E26" s="4">
        <f>E25*(1-Inputs!$D$8)+D26</f>
        <v/>
      </c>
      <c r="F26" s="8">
        <f>Inputs!$D$10*(1+Inputs!$D$11)^A26</f>
        <v/>
      </c>
      <c r="G26" s="8">
        <f>G25*(1-Inputs!$D$13)+F26</f>
        <v/>
      </c>
      <c r="H26" s="3">
        <f>E26*Inputs!$D$9+G26*Inputs!$D$12</f>
        <v/>
      </c>
      <c r="I26" s="3">
        <f>H26*12</f>
        <v/>
      </c>
      <c r="J26">
        <f>IF(I26&gt;=Inputs!$D$2,"YES","")</f>
        <v/>
      </c>
    </row>
    <row r="27">
      <c r="A27" t="n">
        <v>25</v>
      </c>
      <c r="B27" s="2">
        <f>EDATE(DATE(2026,11,1),A27)</f>
        <v/>
      </c>
      <c r="C27" s="4">
        <f>Inputs!$D$3*(1+Inputs!$D$4)^A27</f>
        <v/>
      </c>
      <c r="D27" s="8">
        <f>C27*Inputs!$D$5*Inputs!$D$6*Inputs!$D$7</f>
        <v/>
      </c>
      <c r="E27" s="4">
        <f>E26*(1-Inputs!$D$8)+D27</f>
        <v/>
      </c>
      <c r="F27" s="8">
        <f>Inputs!$D$10*(1+Inputs!$D$11)^A27</f>
        <v/>
      </c>
      <c r="G27" s="8">
        <f>G26*(1-Inputs!$D$13)+F27</f>
        <v/>
      </c>
      <c r="H27" s="3">
        <f>E27*Inputs!$D$9+G27*Inputs!$D$12</f>
        <v/>
      </c>
      <c r="I27" s="3">
        <f>H27*12</f>
        <v/>
      </c>
      <c r="J27">
        <f>IF(I27&gt;=Inputs!$D$2,"YES","")</f>
        <v/>
      </c>
    </row>
    <row r="28">
      <c r="A28" t="n">
        <v>26</v>
      </c>
      <c r="B28" s="2">
        <f>EDATE(DATE(2026,11,1),A28)</f>
        <v/>
      </c>
      <c r="C28" s="4">
        <f>Inputs!$D$3*(1+Inputs!$D$4)^A28</f>
        <v/>
      </c>
      <c r="D28" s="8">
        <f>C28*Inputs!$D$5*Inputs!$D$6*Inputs!$D$7</f>
        <v/>
      </c>
      <c r="E28" s="4">
        <f>E27*(1-Inputs!$D$8)+D28</f>
        <v/>
      </c>
      <c r="F28" s="8">
        <f>Inputs!$D$10*(1+Inputs!$D$11)^A28</f>
        <v/>
      </c>
      <c r="G28" s="8">
        <f>G27*(1-Inputs!$D$13)+F28</f>
        <v/>
      </c>
      <c r="H28" s="3">
        <f>E28*Inputs!$D$9+G28*Inputs!$D$12</f>
        <v/>
      </c>
      <c r="I28" s="3">
        <f>H28*12</f>
        <v/>
      </c>
      <c r="J28">
        <f>IF(I28&gt;=Inputs!$D$2,"YES","")</f>
        <v/>
      </c>
    </row>
    <row r="29">
      <c r="A29" t="n">
        <v>27</v>
      </c>
      <c r="B29" s="2">
        <f>EDATE(DATE(2026,11,1),A29)</f>
        <v/>
      </c>
      <c r="C29" s="4">
        <f>Inputs!$D$3*(1+Inputs!$D$4)^A29</f>
        <v/>
      </c>
      <c r="D29" s="8">
        <f>C29*Inputs!$D$5*Inputs!$D$6*Inputs!$D$7</f>
        <v/>
      </c>
      <c r="E29" s="4">
        <f>E28*(1-Inputs!$D$8)+D29</f>
        <v/>
      </c>
      <c r="F29" s="8">
        <f>Inputs!$D$10*(1+Inputs!$D$11)^A29</f>
        <v/>
      </c>
      <c r="G29" s="8">
        <f>G28*(1-Inputs!$D$13)+F29</f>
        <v/>
      </c>
      <c r="H29" s="3">
        <f>E29*Inputs!$D$9+G29*Inputs!$D$12</f>
        <v/>
      </c>
      <c r="I29" s="3">
        <f>H29*12</f>
        <v/>
      </c>
      <c r="J29">
        <f>IF(I29&gt;=Inputs!$D$2,"YES","")</f>
        <v/>
      </c>
    </row>
    <row r="30">
      <c r="A30" t="n">
        <v>28</v>
      </c>
      <c r="B30" s="2">
        <f>EDATE(DATE(2026,11,1),A30)</f>
        <v/>
      </c>
      <c r="C30" s="4">
        <f>Inputs!$D$3*(1+Inputs!$D$4)^A30</f>
        <v/>
      </c>
      <c r="D30" s="8">
        <f>C30*Inputs!$D$5*Inputs!$D$6*Inputs!$D$7</f>
        <v/>
      </c>
      <c r="E30" s="4">
        <f>E29*(1-Inputs!$D$8)+D30</f>
        <v/>
      </c>
      <c r="F30" s="8">
        <f>Inputs!$D$10*(1+Inputs!$D$11)^A30</f>
        <v/>
      </c>
      <c r="G30" s="8">
        <f>G29*(1-Inputs!$D$13)+F30</f>
        <v/>
      </c>
      <c r="H30" s="3">
        <f>E30*Inputs!$D$9+G30*Inputs!$D$12</f>
        <v/>
      </c>
      <c r="I30" s="3">
        <f>H30*12</f>
        <v/>
      </c>
      <c r="J30">
        <f>IF(I30&gt;=Inputs!$D$2,"YES","")</f>
        <v/>
      </c>
    </row>
    <row r="31">
      <c r="A31" t="n">
        <v>29</v>
      </c>
      <c r="B31" s="2">
        <f>EDATE(DATE(2026,11,1),A31)</f>
        <v/>
      </c>
      <c r="C31" s="4">
        <f>Inputs!$D$3*(1+Inputs!$D$4)^A31</f>
        <v/>
      </c>
      <c r="D31" s="8">
        <f>C31*Inputs!$D$5*Inputs!$D$6*Inputs!$D$7</f>
        <v/>
      </c>
      <c r="E31" s="4">
        <f>E30*(1-Inputs!$D$8)+D31</f>
        <v/>
      </c>
      <c r="F31" s="8">
        <f>Inputs!$D$10*(1+Inputs!$D$11)^A31</f>
        <v/>
      </c>
      <c r="G31" s="8">
        <f>G30*(1-Inputs!$D$13)+F31</f>
        <v/>
      </c>
      <c r="H31" s="3">
        <f>E31*Inputs!$D$9+G31*Inputs!$D$12</f>
        <v/>
      </c>
      <c r="I31" s="3">
        <f>H31*12</f>
        <v/>
      </c>
      <c r="J31">
        <f>IF(I31&gt;=Inputs!$D$2,"YES","")</f>
        <v/>
      </c>
    </row>
    <row r="32">
      <c r="A32" t="n">
        <v>30</v>
      </c>
      <c r="B32" s="2">
        <f>EDATE(DATE(2026,11,1),A32)</f>
        <v/>
      </c>
      <c r="C32" s="4">
        <f>Inputs!$D$3*(1+Inputs!$D$4)^A32</f>
        <v/>
      </c>
      <c r="D32" s="8">
        <f>C32*Inputs!$D$5*Inputs!$D$6*Inputs!$D$7</f>
        <v/>
      </c>
      <c r="E32" s="4">
        <f>E31*(1-Inputs!$D$8)+D32</f>
        <v/>
      </c>
      <c r="F32" s="8">
        <f>Inputs!$D$10*(1+Inputs!$D$11)^A32</f>
        <v/>
      </c>
      <c r="G32" s="8">
        <f>G31*(1-Inputs!$D$13)+F32</f>
        <v/>
      </c>
      <c r="H32" s="3">
        <f>E32*Inputs!$D$9+G32*Inputs!$D$12</f>
        <v/>
      </c>
      <c r="I32" s="3">
        <f>H32*12</f>
        <v/>
      </c>
      <c r="J32">
        <f>IF(I32&gt;=Inputs!$D$2,"YES","")</f>
        <v/>
      </c>
    </row>
    <row r="33">
      <c r="A33" t="n">
        <v>31</v>
      </c>
      <c r="B33" s="2">
        <f>EDATE(DATE(2026,11,1),A33)</f>
        <v/>
      </c>
      <c r="C33" s="4">
        <f>Inputs!$D$3*(1+Inputs!$D$4)^A33</f>
        <v/>
      </c>
      <c r="D33" s="8">
        <f>C33*Inputs!$D$5*Inputs!$D$6*Inputs!$D$7</f>
        <v/>
      </c>
      <c r="E33" s="4">
        <f>E32*(1-Inputs!$D$8)+D33</f>
        <v/>
      </c>
      <c r="F33" s="8">
        <f>Inputs!$D$10*(1+Inputs!$D$11)^A33</f>
        <v/>
      </c>
      <c r="G33" s="8">
        <f>G32*(1-Inputs!$D$13)+F33</f>
        <v/>
      </c>
      <c r="H33" s="3">
        <f>E33*Inputs!$D$9+G33*Inputs!$D$12</f>
        <v/>
      </c>
      <c r="I33" s="3">
        <f>H33*12</f>
        <v/>
      </c>
      <c r="J33">
        <f>IF(I33&gt;=Inputs!$D$2,"YES","")</f>
        <v/>
      </c>
    </row>
    <row r="34">
      <c r="A34" t="n">
        <v>32</v>
      </c>
      <c r="B34" s="2">
        <f>EDATE(DATE(2026,11,1),A34)</f>
        <v/>
      </c>
      <c r="C34" s="4">
        <f>Inputs!$D$3*(1+Inputs!$D$4)^A34</f>
        <v/>
      </c>
      <c r="D34" s="8">
        <f>C34*Inputs!$D$5*Inputs!$D$6*Inputs!$D$7</f>
        <v/>
      </c>
      <c r="E34" s="4">
        <f>E33*(1-Inputs!$D$8)+D34</f>
        <v/>
      </c>
      <c r="F34" s="8">
        <f>Inputs!$D$10*(1+Inputs!$D$11)^A34</f>
        <v/>
      </c>
      <c r="G34" s="8">
        <f>G33*(1-Inputs!$D$13)+F34</f>
        <v/>
      </c>
      <c r="H34" s="3">
        <f>E34*Inputs!$D$9+G34*Inputs!$D$12</f>
        <v/>
      </c>
      <c r="I34" s="3">
        <f>H34*12</f>
        <v/>
      </c>
      <c r="J34">
        <f>IF(I34&gt;=Inputs!$D$2,"YES","")</f>
        <v/>
      </c>
    </row>
    <row r="35">
      <c r="A35" t="n">
        <v>33</v>
      </c>
      <c r="B35" s="2">
        <f>EDATE(DATE(2026,11,1),A35)</f>
        <v/>
      </c>
      <c r="C35" s="4">
        <f>Inputs!$D$3*(1+Inputs!$D$4)^A35</f>
        <v/>
      </c>
      <c r="D35" s="8">
        <f>C35*Inputs!$D$5*Inputs!$D$6*Inputs!$D$7</f>
        <v/>
      </c>
      <c r="E35" s="4">
        <f>E34*(1-Inputs!$D$8)+D35</f>
        <v/>
      </c>
      <c r="F35" s="8">
        <f>Inputs!$D$10*(1+Inputs!$D$11)^A35</f>
        <v/>
      </c>
      <c r="G35" s="8">
        <f>G34*(1-Inputs!$D$13)+F35</f>
        <v/>
      </c>
      <c r="H35" s="3">
        <f>E35*Inputs!$D$9+G35*Inputs!$D$12</f>
        <v/>
      </c>
      <c r="I35" s="3">
        <f>H35*12</f>
        <v/>
      </c>
      <c r="J35">
        <f>IF(I35&gt;=Inputs!$D$2,"YES","")</f>
        <v/>
      </c>
    </row>
    <row r="36">
      <c r="A36" t="n">
        <v>34</v>
      </c>
      <c r="B36" s="2">
        <f>EDATE(DATE(2026,11,1),A36)</f>
        <v/>
      </c>
      <c r="C36" s="4">
        <f>Inputs!$D$3*(1+Inputs!$D$4)^A36</f>
        <v/>
      </c>
      <c r="D36" s="8">
        <f>C36*Inputs!$D$5*Inputs!$D$6*Inputs!$D$7</f>
        <v/>
      </c>
      <c r="E36" s="4">
        <f>E35*(1-Inputs!$D$8)+D36</f>
        <v/>
      </c>
      <c r="F36" s="8">
        <f>Inputs!$D$10*(1+Inputs!$D$11)^A36</f>
        <v/>
      </c>
      <c r="G36" s="8">
        <f>G35*(1-Inputs!$D$13)+F36</f>
        <v/>
      </c>
      <c r="H36" s="3">
        <f>E36*Inputs!$D$9+G36*Inputs!$D$12</f>
        <v/>
      </c>
      <c r="I36" s="3">
        <f>H36*12</f>
        <v/>
      </c>
      <c r="J36">
        <f>IF(I36&gt;=Inputs!$D$2,"YES","")</f>
        <v/>
      </c>
    </row>
    <row r="37">
      <c r="A37" t="n">
        <v>35</v>
      </c>
      <c r="B37" s="2">
        <f>EDATE(DATE(2026,11,1),A37)</f>
        <v/>
      </c>
      <c r="C37" s="4">
        <f>Inputs!$D$3*(1+Inputs!$D$4)^A37</f>
        <v/>
      </c>
      <c r="D37" s="8">
        <f>C37*Inputs!$D$5*Inputs!$D$6*Inputs!$D$7</f>
        <v/>
      </c>
      <c r="E37" s="4">
        <f>E36*(1-Inputs!$D$8)+D37</f>
        <v/>
      </c>
      <c r="F37" s="8">
        <f>Inputs!$D$10*(1+Inputs!$D$11)^A37</f>
        <v/>
      </c>
      <c r="G37" s="8">
        <f>G36*(1-Inputs!$D$13)+F37</f>
        <v/>
      </c>
      <c r="H37" s="3">
        <f>E37*Inputs!$D$9+G37*Inputs!$D$12</f>
        <v/>
      </c>
      <c r="I37" s="3">
        <f>H37*12</f>
        <v/>
      </c>
      <c r="J37">
        <f>IF(I37&gt;=Inputs!$D$2,"YES","")</f>
        <v/>
      </c>
    </row>
    <row r="38">
      <c r="A38" t="n">
        <v>36</v>
      </c>
      <c r="B38" s="2">
        <f>EDATE(DATE(2026,11,1),A38)</f>
        <v/>
      </c>
      <c r="C38" s="4">
        <f>Inputs!$D$3*(1+Inputs!$D$4)^A38</f>
        <v/>
      </c>
      <c r="D38" s="8">
        <f>C38*Inputs!$D$5*Inputs!$D$6*Inputs!$D$7</f>
        <v/>
      </c>
      <c r="E38" s="4">
        <f>E37*(1-Inputs!$D$8)+D38</f>
        <v/>
      </c>
      <c r="F38" s="8">
        <f>Inputs!$D$10*(1+Inputs!$D$11)^A38</f>
        <v/>
      </c>
      <c r="G38" s="8">
        <f>G37*(1-Inputs!$D$13)+F38</f>
        <v/>
      </c>
      <c r="H38" s="3">
        <f>E38*Inputs!$D$9+G38*Inputs!$D$12</f>
        <v/>
      </c>
      <c r="I38" s="3">
        <f>H38*12</f>
        <v/>
      </c>
      <c r="J38">
        <f>IF(I38&gt;=Inputs!$D$2,"YES","")</f>
        <v/>
      </c>
    </row>
    <row r="39">
      <c r="A39" t="n">
        <v>37</v>
      </c>
      <c r="B39" s="2">
        <f>EDATE(DATE(2026,11,1),A39)</f>
        <v/>
      </c>
      <c r="C39" s="4">
        <f>Inputs!$D$3*(1+Inputs!$D$4)^A39</f>
        <v/>
      </c>
      <c r="D39" s="8">
        <f>C39*Inputs!$D$5*Inputs!$D$6*Inputs!$D$7</f>
        <v/>
      </c>
      <c r="E39" s="4">
        <f>E38*(1-Inputs!$D$8)+D39</f>
        <v/>
      </c>
      <c r="F39" s="8">
        <f>Inputs!$D$10*(1+Inputs!$D$11)^A39</f>
        <v/>
      </c>
      <c r="G39" s="8">
        <f>G38*(1-Inputs!$D$13)+F39</f>
        <v/>
      </c>
      <c r="H39" s="3">
        <f>E39*Inputs!$D$9+G39*Inputs!$D$12</f>
        <v/>
      </c>
      <c r="I39" s="3">
        <f>H39*12</f>
        <v/>
      </c>
      <c r="J39">
        <f>IF(I39&gt;=Inputs!$D$2,"YES","")</f>
        <v/>
      </c>
    </row>
    <row r="40">
      <c r="A40" t="n">
        <v>38</v>
      </c>
      <c r="B40" s="2">
        <f>EDATE(DATE(2026,11,1),A40)</f>
        <v/>
      </c>
      <c r="C40" s="4">
        <f>Inputs!$D$3*(1+Inputs!$D$4)^A40</f>
        <v/>
      </c>
      <c r="D40" s="8">
        <f>C40*Inputs!$D$5*Inputs!$D$6*Inputs!$D$7</f>
        <v/>
      </c>
      <c r="E40" s="4">
        <f>E39*(1-Inputs!$D$8)+D40</f>
        <v/>
      </c>
      <c r="F40" s="8">
        <f>Inputs!$D$10*(1+Inputs!$D$11)^A40</f>
        <v/>
      </c>
      <c r="G40" s="8">
        <f>G39*(1-Inputs!$D$13)+F40</f>
        <v/>
      </c>
      <c r="H40" s="3">
        <f>E40*Inputs!$D$9+G40*Inputs!$D$12</f>
        <v/>
      </c>
      <c r="I40" s="3">
        <f>H40*12</f>
        <v/>
      </c>
      <c r="J40">
        <f>IF(I40&gt;=Inputs!$D$2,"YES","")</f>
        <v/>
      </c>
    </row>
    <row r="41">
      <c r="A41" t="n">
        <v>39</v>
      </c>
      <c r="B41" s="2">
        <f>EDATE(DATE(2026,11,1),A41)</f>
        <v/>
      </c>
      <c r="C41" s="4">
        <f>Inputs!$D$3*(1+Inputs!$D$4)^A41</f>
        <v/>
      </c>
      <c r="D41" s="8">
        <f>C41*Inputs!$D$5*Inputs!$D$6*Inputs!$D$7</f>
        <v/>
      </c>
      <c r="E41" s="4">
        <f>E40*(1-Inputs!$D$8)+D41</f>
        <v/>
      </c>
      <c r="F41" s="8">
        <f>Inputs!$D$10*(1+Inputs!$D$11)^A41</f>
        <v/>
      </c>
      <c r="G41" s="8">
        <f>G40*(1-Inputs!$D$13)+F41</f>
        <v/>
      </c>
      <c r="H41" s="3">
        <f>E41*Inputs!$D$9+G41*Inputs!$D$12</f>
        <v/>
      </c>
      <c r="I41" s="3">
        <f>H41*12</f>
        <v/>
      </c>
      <c r="J41">
        <f>IF(I41&gt;=Inputs!$D$2,"YES","")</f>
        <v/>
      </c>
    </row>
    <row r="42">
      <c r="A42" t="n">
        <v>40</v>
      </c>
      <c r="B42" s="2">
        <f>EDATE(DATE(2026,11,1),A42)</f>
        <v/>
      </c>
      <c r="C42" s="4">
        <f>Inputs!$D$3*(1+Inputs!$D$4)^A42</f>
        <v/>
      </c>
      <c r="D42" s="8">
        <f>C42*Inputs!$D$5*Inputs!$D$6*Inputs!$D$7</f>
        <v/>
      </c>
      <c r="E42" s="4">
        <f>E41*(1-Inputs!$D$8)+D42</f>
        <v/>
      </c>
      <c r="F42" s="8">
        <f>Inputs!$D$10*(1+Inputs!$D$11)^A42</f>
        <v/>
      </c>
      <c r="G42" s="8">
        <f>G41*(1-Inputs!$D$13)+F42</f>
        <v/>
      </c>
      <c r="H42" s="3">
        <f>E42*Inputs!$D$9+G42*Inputs!$D$12</f>
        <v/>
      </c>
      <c r="I42" s="3">
        <f>H42*12</f>
        <v/>
      </c>
      <c r="J42">
        <f>IF(I42&gt;=Inputs!$D$2,"YES","")</f>
        <v/>
      </c>
    </row>
    <row r="43">
      <c r="A43" t="n">
        <v>41</v>
      </c>
      <c r="B43" s="2">
        <f>EDATE(DATE(2026,11,1),A43)</f>
        <v/>
      </c>
      <c r="C43" s="4">
        <f>Inputs!$D$3*(1+Inputs!$D$4)^A43</f>
        <v/>
      </c>
      <c r="D43" s="8">
        <f>C43*Inputs!$D$5*Inputs!$D$6*Inputs!$D$7</f>
        <v/>
      </c>
      <c r="E43" s="4">
        <f>E42*(1-Inputs!$D$8)+D43</f>
        <v/>
      </c>
      <c r="F43" s="8">
        <f>Inputs!$D$10*(1+Inputs!$D$11)^A43</f>
        <v/>
      </c>
      <c r="G43" s="8">
        <f>G42*(1-Inputs!$D$13)+F43</f>
        <v/>
      </c>
      <c r="H43" s="3">
        <f>E43*Inputs!$D$9+G43*Inputs!$D$12</f>
        <v/>
      </c>
      <c r="I43" s="3">
        <f>H43*12</f>
        <v/>
      </c>
      <c r="J43">
        <f>IF(I43&gt;=Inputs!$D$2,"YES","")</f>
        <v/>
      </c>
    </row>
    <row r="44">
      <c r="A44" t="n">
        <v>42</v>
      </c>
      <c r="B44" s="2">
        <f>EDATE(DATE(2026,11,1),A44)</f>
        <v/>
      </c>
      <c r="C44" s="4">
        <f>Inputs!$D$3*(1+Inputs!$D$4)^A44</f>
        <v/>
      </c>
      <c r="D44" s="8">
        <f>C44*Inputs!$D$5*Inputs!$D$6*Inputs!$D$7</f>
        <v/>
      </c>
      <c r="E44" s="4">
        <f>E43*(1-Inputs!$D$8)+D44</f>
        <v/>
      </c>
      <c r="F44" s="8">
        <f>Inputs!$D$10*(1+Inputs!$D$11)^A44</f>
        <v/>
      </c>
      <c r="G44" s="8">
        <f>G43*(1-Inputs!$D$13)+F44</f>
        <v/>
      </c>
      <c r="H44" s="3">
        <f>E44*Inputs!$D$9+G44*Inputs!$D$12</f>
        <v/>
      </c>
      <c r="I44" s="3">
        <f>H44*12</f>
        <v/>
      </c>
      <c r="J44">
        <f>IF(I44&gt;=Inputs!$D$2,"YES","")</f>
        <v/>
      </c>
    </row>
    <row r="45">
      <c r="A45" t="n">
        <v>43</v>
      </c>
      <c r="B45" s="2">
        <f>EDATE(DATE(2026,11,1),A45)</f>
        <v/>
      </c>
      <c r="C45" s="4">
        <f>Inputs!$D$3*(1+Inputs!$D$4)^A45</f>
        <v/>
      </c>
      <c r="D45" s="8">
        <f>C45*Inputs!$D$5*Inputs!$D$6*Inputs!$D$7</f>
        <v/>
      </c>
      <c r="E45" s="4">
        <f>E44*(1-Inputs!$D$8)+D45</f>
        <v/>
      </c>
      <c r="F45" s="8">
        <f>Inputs!$D$10*(1+Inputs!$D$11)^A45</f>
        <v/>
      </c>
      <c r="G45" s="8">
        <f>G44*(1-Inputs!$D$13)+F45</f>
        <v/>
      </c>
      <c r="H45" s="3">
        <f>E45*Inputs!$D$9+G45*Inputs!$D$12</f>
        <v/>
      </c>
      <c r="I45" s="3">
        <f>H45*12</f>
        <v/>
      </c>
      <c r="J45">
        <f>IF(I45&gt;=Inputs!$D$2,"YES","")</f>
        <v/>
      </c>
    </row>
    <row r="46">
      <c r="A46" t="n">
        <v>44</v>
      </c>
      <c r="B46" s="2">
        <f>EDATE(DATE(2026,11,1),A46)</f>
        <v/>
      </c>
      <c r="C46" s="4">
        <f>Inputs!$D$3*(1+Inputs!$D$4)^A46</f>
        <v/>
      </c>
      <c r="D46" s="8">
        <f>C46*Inputs!$D$5*Inputs!$D$6*Inputs!$D$7</f>
        <v/>
      </c>
      <c r="E46" s="4">
        <f>E45*(1-Inputs!$D$8)+D46</f>
        <v/>
      </c>
      <c r="F46" s="8">
        <f>Inputs!$D$10*(1+Inputs!$D$11)^A46</f>
        <v/>
      </c>
      <c r="G46" s="8">
        <f>G45*(1-Inputs!$D$13)+F46</f>
        <v/>
      </c>
      <c r="H46" s="3">
        <f>E46*Inputs!$D$9+G46*Inputs!$D$12</f>
        <v/>
      </c>
      <c r="I46" s="3">
        <f>H46*12</f>
        <v/>
      </c>
      <c r="J46">
        <f>IF(I46&gt;=Inputs!$D$2,"YES","")</f>
        <v/>
      </c>
    </row>
    <row r="47">
      <c r="A47" t="n">
        <v>45</v>
      </c>
      <c r="B47" s="2">
        <f>EDATE(DATE(2026,11,1),A47)</f>
        <v/>
      </c>
      <c r="C47" s="4">
        <f>Inputs!$D$3*(1+Inputs!$D$4)^A47</f>
        <v/>
      </c>
      <c r="D47" s="8">
        <f>C47*Inputs!$D$5*Inputs!$D$6*Inputs!$D$7</f>
        <v/>
      </c>
      <c r="E47" s="4">
        <f>E46*(1-Inputs!$D$8)+D47</f>
        <v/>
      </c>
      <c r="F47" s="8">
        <f>Inputs!$D$10*(1+Inputs!$D$11)^A47</f>
        <v/>
      </c>
      <c r="G47" s="8">
        <f>G46*(1-Inputs!$D$13)+F47</f>
        <v/>
      </c>
      <c r="H47" s="3">
        <f>E47*Inputs!$D$9+G47*Inputs!$D$12</f>
        <v/>
      </c>
      <c r="I47" s="3">
        <f>H47*12</f>
        <v/>
      </c>
      <c r="J47">
        <f>IF(I47&gt;=Inputs!$D$2,"YES","")</f>
        <v/>
      </c>
    </row>
    <row r="48">
      <c r="A48" t="n">
        <v>46</v>
      </c>
      <c r="B48" s="2">
        <f>EDATE(DATE(2026,11,1),A48)</f>
        <v/>
      </c>
      <c r="C48" s="4">
        <f>Inputs!$D$3*(1+Inputs!$D$4)^A48</f>
        <v/>
      </c>
      <c r="D48" s="8">
        <f>C48*Inputs!$D$5*Inputs!$D$6*Inputs!$D$7</f>
        <v/>
      </c>
      <c r="E48" s="4">
        <f>E47*(1-Inputs!$D$8)+D48</f>
        <v/>
      </c>
      <c r="F48" s="8">
        <f>Inputs!$D$10*(1+Inputs!$D$11)^A48</f>
        <v/>
      </c>
      <c r="G48" s="8">
        <f>G47*(1-Inputs!$D$13)+F48</f>
        <v/>
      </c>
      <c r="H48" s="3">
        <f>E48*Inputs!$D$9+G48*Inputs!$D$12</f>
        <v/>
      </c>
      <c r="I48" s="3">
        <f>H48*12</f>
        <v/>
      </c>
      <c r="J48">
        <f>IF(I48&gt;=Inputs!$D$2,"YES","")</f>
        <v/>
      </c>
    </row>
    <row r="49">
      <c r="A49" t="n">
        <v>47</v>
      </c>
      <c r="B49" s="2">
        <f>EDATE(DATE(2026,11,1),A49)</f>
        <v/>
      </c>
      <c r="C49" s="4">
        <f>Inputs!$D$3*(1+Inputs!$D$4)^A49</f>
        <v/>
      </c>
      <c r="D49" s="8">
        <f>C49*Inputs!$D$5*Inputs!$D$6*Inputs!$D$7</f>
        <v/>
      </c>
      <c r="E49" s="4">
        <f>E48*(1-Inputs!$D$8)+D49</f>
        <v/>
      </c>
      <c r="F49" s="8">
        <f>Inputs!$D$10*(1+Inputs!$D$11)^A49</f>
        <v/>
      </c>
      <c r="G49" s="8">
        <f>G48*(1-Inputs!$D$13)+F49</f>
        <v/>
      </c>
      <c r="H49" s="3">
        <f>E49*Inputs!$D$9+G49*Inputs!$D$12</f>
        <v/>
      </c>
      <c r="I49" s="3">
        <f>H49*12</f>
        <v/>
      </c>
      <c r="J49">
        <f>IF(I49&gt;=Inputs!$D$2,"YES","")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5" max="5"/>
  </cols>
  <sheetData>
    <row r="1">
      <c r="A1" s="1" t="inlineStr">
        <is>
          <t>Metric</t>
        </is>
      </c>
      <c r="B1" s="1" t="inlineStr">
        <is>
          <t>Worst</t>
        </is>
      </c>
      <c r="C1" s="1" t="inlineStr">
        <is>
          <t>Expected</t>
        </is>
      </c>
      <c r="D1" s="1" t="inlineStr">
        <is>
          <t>Optimistic</t>
        </is>
      </c>
      <c r="E1" s="1" t="inlineStr">
        <is>
          <t>Note</t>
        </is>
      </c>
    </row>
    <row r="2">
      <c r="A2" t="inlineStr">
        <is>
          <t>Creator ARPU ($/mo)</t>
        </is>
      </c>
      <c r="B2" s="9">
        <f>Inputs!$B$9</f>
        <v/>
      </c>
      <c r="C2" s="9">
        <f>Inputs!$C$9</f>
        <v/>
      </c>
      <c r="D2" s="9">
        <f>Inputs!$D$9</f>
        <v/>
      </c>
      <c r="E2" t="inlineStr"/>
    </row>
    <row r="3">
      <c r="A3" t="inlineStr">
        <is>
          <t>Scan cost per member per month ($)</t>
        </is>
      </c>
      <c r="B3" s="9">
        <f>Inputs!$B$14*Inputs!$B$15</f>
        <v/>
      </c>
      <c r="C3" s="9">
        <f>Inputs!$C$14*Inputs!$C$15</f>
        <v/>
      </c>
      <c r="D3" s="9">
        <f>Inputs!$D$14*Inputs!$D$15</f>
        <v/>
      </c>
      <c r="E3" t="inlineStr">
        <is>
          <t>variable AI + data cost only</t>
        </is>
      </c>
    </row>
    <row r="4">
      <c r="A4" t="inlineStr">
        <is>
          <t>Gross margin per creator</t>
        </is>
      </c>
      <c r="B4" s="10">
        <f>1-B3/B2</f>
        <v/>
      </c>
      <c r="C4" s="10">
        <f>1-C3/C2</f>
        <v/>
      </c>
      <c r="D4" s="10">
        <f>1-D3/D2</f>
        <v/>
      </c>
      <c r="E4" t="inlineStr"/>
    </row>
    <row r="5">
      <c r="A5" t="inlineStr">
        <is>
          <t>Creator lifetime (months) = 1/churn</t>
        </is>
      </c>
      <c r="B5" s="9">
        <f>1/Inputs!$B$8</f>
        <v/>
      </c>
      <c r="C5" s="9">
        <f>1/Inputs!$C$8</f>
        <v/>
      </c>
      <c r="D5" s="9">
        <f>1/Inputs!$D$8</f>
        <v/>
      </c>
      <c r="E5" t="inlineStr"/>
    </row>
    <row r="6">
      <c r="A6" t="inlineStr">
        <is>
          <t>Creator lifetime value ($)</t>
        </is>
      </c>
      <c r="B6" s="9">
        <f>B2*B4*B5</f>
        <v/>
      </c>
      <c r="C6" s="9">
        <f>C2*C4*C5</f>
        <v/>
      </c>
      <c r="D6" s="9">
        <f>D2*D4*D5</f>
        <v/>
      </c>
      <c r="E6" t="inlineStr">
        <is>
          <t>ARPU x margin x lifetime</t>
        </is>
      </c>
    </row>
    <row r="7">
      <c r="A7" t="inlineStr">
        <is>
          <t>Cost of a free scan that never pays ($)</t>
        </is>
      </c>
      <c r="B7" s="9">
        <f>Inputs!$B$14</f>
        <v/>
      </c>
      <c r="C7" s="9">
        <f>Inputs!$C$14</f>
        <v/>
      </c>
      <c r="D7" s="9">
        <f>Inputs!$D$14</f>
        <v/>
      </c>
      <c r="E7" t="inlineStr"/>
    </row>
    <row r="8">
      <c r="A8" t="inlineStr">
        <is>
          <t>Free scans paid for by one member (LTV / scan cost)</t>
        </is>
      </c>
      <c r="B8" s="9">
        <f>B6/B7</f>
        <v/>
      </c>
      <c r="C8" s="9">
        <f>C6/C7</f>
        <v/>
      </c>
      <c r="D8" s="9">
        <f>D6/D7</f>
        <v/>
      </c>
      <c r="E8" t="inlineStr">
        <is>
          <t>how many free scans one member funds</t>
        </is>
      </c>
    </row>
    <row r="9">
      <c r="A9" t="inlineStr">
        <is>
          <t>B2B lifetime value ($)</t>
        </is>
      </c>
      <c r="B9" s="9">
        <f>Inputs!$B$12/Inputs!$B$13</f>
        <v/>
      </c>
      <c r="C9" s="9">
        <f>Inputs!$C$12/Inputs!$C$13</f>
        <v/>
      </c>
      <c r="D9" s="9">
        <f>Inputs!$D$12/Inputs!$D$13</f>
        <v/>
      </c>
      <c r="E9" t="inlineStr">
        <is>
          <t>price / churn, margin ~100% before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55" customWidth="1" min="1" max="1"/>
    <col width="26" customWidth="1" min="2" max="2"/>
    <col width="48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Query id (see plan appendix)</t>
        </is>
      </c>
      <c r="D1" s="1" t="inlineStr">
        <is>
          <t>As of</t>
        </is>
      </c>
    </row>
    <row r="2">
      <c r="A2" t="inlineStr">
        <is>
          <t>All-time scans</t>
        </is>
      </c>
      <c r="B2" t="n">
        <v>6756</v>
      </c>
      <c r="C2" t="inlineStr">
        <is>
          <t>Q1</t>
        </is>
      </c>
      <c r="D2" t="inlineStr">
        <is>
          <t>2026-10-26</t>
        </is>
      </c>
    </row>
    <row r="3">
      <c r="A3" t="inlineStr">
        <is>
          <t>All-time unique handles scanned</t>
        </is>
      </c>
      <c r="B3" t="n">
        <v>4748</v>
      </c>
      <c r="C3" t="inlineStr">
        <is>
          <t>Q1</t>
        </is>
      </c>
      <c r="D3" t="inlineStr">
        <is>
          <t>2026-10-26</t>
        </is>
      </c>
    </row>
    <row r="4">
      <c r="A4" t="inlineStr">
        <is>
          <t>Scans while signed in</t>
        </is>
      </c>
      <c r="B4" t="n">
        <v>9</v>
      </c>
      <c r="C4" t="inlineStr">
        <is>
          <t>Q1</t>
        </is>
      </c>
      <c r="D4" t="inlineStr">
        <is>
          <t>2026-10-26</t>
        </is>
      </c>
    </row>
    <row r="5">
      <c r="A5" t="inlineStr">
        <is>
          <t>Launch week (Mar 16) scans / handles</t>
        </is>
      </c>
      <c r="B5" t="inlineStr">
        <is>
          <t>5,459 / 4,105</t>
        </is>
      </c>
      <c r="C5" t="inlineStr">
        <is>
          <t>Q2</t>
        </is>
      </c>
      <c r="D5" t="inlineStr">
        <is>
          <t>2026-10-26</t>
        </is>
      </c>
    </row>
    <row r="6">
      <c r="A6" t="inlineStr">
        <is>
          <t>Launch week email signups</t>
        </is>
      </c>
      <c r="B6" t="n">
        <v>883</v>
      </c>
      <c r="C6" t="inlineStr">
        <is>
          <t>Q4</t>
        </is>
      </c>
      <c r="D6" t="inlineStr">
        <is>
          <t>2026-10-26</t>
        </is>
      </c>
    </row>
    <row r="7">
      <c r="A7" t="inlineStr">
        <is>
          <t>Scan-&gt;signup, launch week</t>
        </is>
      </c>
      <c r="B7" s="10" t="n">
        <v>0.215</v>
      </c>
      <c r="C7" t="inlineStr">
        <is>
          <t>C3</t>
        </is>
      </c>
      <c r="D7" t="inlineStr">
        <is>
          <t>2026-10-26</t>
        </is>
      </c>
    </row>
    <row r="8">
      <c r="A8" t="inlineStr">
        <is>
          <t>Oct 1-26 scans / handles / signups</t>
        </is>
      </c>
      <c r="B8" t="inlineStr">
        <is>
          <t>285 / 217 / 32</t>
        </is>
      </c>
      <c r="C8" t="inlineStr">
        <is>
          <t>C4</t>
        </is>
      </c>
      <c r="D8" t="inlineStr">
        <is>
          <t>2026-10-26</t>
        </is>
      </c>
    </row>
    <row r="9">
      <c r="A9" t="inlineStr">
        <is>
          <t>Scan-&gt;signup, Oct</t>
        </is>
      </c>
      <c r="B9" s="10" t="n">
        <v>0.147</v>
      </c>
      <c r="C9" t="inlineStr">
        <is>
          <t>C4</t>
        </is>
      </c>
      <c r="D9" t="inlineStr">
        <is>
          <t>2026-10-26</t>
        </is>
      </c>
    </row>
    <row r="10">
      <c r="A10" t="inlineStr">
        <is>
          <t>Email signups all-time (EmailSignup rows)</t>
        </is>
      </c>
      <c r="B10" t="n">
        <v>1022</v>
      </c>
      <c r="C10" t="inlineStr">
        <is>
          <t>tables</t>
        </is>
      </c>
      <c r="D10" t="inlineStr">
        <is>
          <t>2026-10-26</t>
        </is>
      </c>
    </row>
    <row r="11">
      <c r="A11" t="inlineStr">
        <is>
          <t>Accounts (User rows)</t>
        </is>
      </c>
      <c r="B11" t="n">
        <v>7</v>
      </c>
      <c r="C11" t="inlineStr">
        <is>
          <t>Q6</t>
        </is>
      </c>
      <c r="D11" t="inlineStr">
        <is>
          <t>2026-10-26</t>
        </is>
      </c>
    </row>
    <row r="12">
      <c r="A12" t="inlineStr">
        <is>
          <t>Stripe customers / subscriptions on prod</t>
        </is>
      </c>
      <c r="B12" t="n">
        <v>0</v>
      </c>
      <c r="C12" t="inlineStr">
        <is>
          <t>Q6/Q7 (Stripe key not pullable; DB shows none)</t>
        </is>
      </c>
      <c r="D12" t="inlineStr">
        <is>
          <t>2026-10-26</t>
        </is>
      </c>
    </row>
    <row r="13">
      <c r="A13" t="inlineStr">
        <is>
          <t>Index reservations</t>
        </is>
      </c>
      <c r="B13" t="n">
        <v>1004</v>
      </c>
      <c r="C13" t="inlineStr">
        <is>
          <t>Q9</t>
        </is>
      </c>
      <c r="D13" t="inlineStr">
        <is>
          <t>2026-10-26</t>
        </is>
      </c>
    </row>
    <row r="14">
      <c r="A14" t="inlineStr">
        <is>
          <t>Pricing poll votes</t>
        </is>
      </c>
      <c r="B14" t="n">
        <v>0</v>
      </c>
      <c r="C14" t="inlineStr">
        <is>
          <t>tables</t>
        </is>
      </c>
      <c r="D14" t="inlineStr">
        <is>
          <t>2026-10-26</t>
        </is>
      </c>
    </row>
    <row r="15">
      <c r="A15" t="inlineStr">
        <is>
          <t>Mar-16 signup cohort: rescanned in week 1 / 2 / 4 / 8</t>
        </is>
      </c>
      <c r="B15" t="inlineStr">
        <is>
          <t>8.9% / 0.8% / 0.3% / 0.2%</t>
        </is>
      </c>
      <c r="C15" t="inlineStr">
        <is>
          <t>C1</t>
        </is>
      </c>
      <c r="D15" t="inlineStr">
        <is>
          <t>2026-10-26</t>
        </is>
      </c>
    </row>
    <row r="16">
      <c r="A16" t="inlineStr">
        <is>
          <t>Oct 22 email: recipients who rescanned by Oct 26</t>
        </is>
      </c>
      <c r="B16" t="inlineStr">
        <is>
          <t>78 / 1,004 (7.8%)</t>
        </is>
      </c>
      <c r="C16" t="inlineStr">
        <is>
          <t>C5</t>
        </is>
      </c>
      <c r="D16" t="inlineStr">
        <is>
          <t>2026-10-26</t>
        </is>
      </c>
    </row>
    <row r="17">
      <c r="A17" t="inlineStr">
        <is>
          <t>Oct 22 email subject A vs B scan rate</t>
        </is>
      </c>
      <c r="B17" t="inlineStr">
        <is>
          <t>9.4% vs 4.8%</t>
        </is>
      </c>
      <c r="C17" t="inlineStr">
        <is>
          <t>LAUNCH-PLAN.md</t>
        </is>
      </c>
      <c r="D17" t="inlineStr">
        <is>
          <t>2026-10-26</t>
        </is>
      </c>
    </row>
    <row r="18">
      <c r="A18" t="inlineStr">
        <is>
          <t>Resend: emails since Oct 7 / bounced</t>
        </is>
      </c>
      <c r="B18" t="inlineStr">
        <is>
          <t>1,089 / ~2%</t>
        </is>
      </c>
      <c r="C18" t="inlineStr">
        <is>
          <t>Resend API (open tracking off: no open/click data)</t>
        </is>
      </c>
      <c r="D18" t="inlineStr">
        <is>
          <t>2026-10-26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2026-10-26T12:32:05Z</dcterms:created>
  <dcterms:modified xsi:type="dcterms:W3CDTF">2026-10-26T12:32:05Z</dcterms:modified>
</cp:coreProperties>
</file>